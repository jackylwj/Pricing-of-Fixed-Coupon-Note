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eijie.Liang\Desktop\Liang Weijie-20441729-Assignment1&amp;2-revision\"/>
    </mc:Choice>
  </mc:AlternateContent>
  <xr:revisionPtr revIDLastSave="0" documentId="13_ncr:1_{C6D13FA6-E83F-4191-8549-59C499941CD4}" xr6:coauthVersionLast="45" xr6:coauthVersionMax="45" xr10:uidLastSave="{00000000-0000-0000-0000-000000000000}"/>
  <bookViews>
    <workbookView xWindow="-108" yWindow="-108" windowWidth="23256" windowHeight="12576" tabRatio="589" xr2:uid="{00000000-000D-0000-FFFF-FFFF00000000}"/>
  </bookViews>
  <sheets>
    <sheet name="Equity Linked Note" sheetId="1" r:id="rId1"/>
    <sheet name="Equity Linked Note-solution" sheetId="6" r:id="rId2"/>
    <sheet name=" Fixed Coupon Note" sheetId="3" r:id="rId3"/>
    <sheet name=" Fixed Coupon Note-solution" sheetId="5" r:id="rId4"/>
  </sheets>
  <functionGroups builtInGroupCount="19"/>
  <definedNames>
    <definedName name="d_1">'Equity Linked Note-solution'!$E$3</definedName>
    <definedName name="d_2">'Equity Linked Note-solution'!$E$2</definedName>
    <definedName name="div">#REF!</definedName>
    <definedName name="K">'Equity Linked Note-solution'!$B$3</definedName>
    <definedName name="margin">'Equity Linked Note-solution'!$B$8</definedName>
    <definedName name="N">'Equity Linked Note-solution'!#REF!</definedName>
    <definedName name="q">'Equity Linked Note-solution'!$B$6</definedName>
    <definedName name="rate">'Equity Linked Note-solution'!$B$4</definedName>
    <definedName name="repo">'Equity Linked Note-solution'!$B$7</definedName>
    <definedName name="S_0">'Equity Linked Note-solution'!$B$2</definedName>
    <definedName name="S_t">'Equity Linked Note-solution'!#REF!</definedName>
    <definedName name="sigma">'Equity Linked Note-solution'!$B$5</definedName>
    <definedName name="T">'Equity Linked Note-solution'!#REF!</definedName>
    <definedName name="T_tilde">'Equity Linked Note-solution'!#REF!</definedName>
    <definedName name="time">#REF!</definedName>
  </definedNames>
  <calcPr calcId="18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1" i="5" l="1"/>
  <c r="B21" i="5"/>
  <c r="B19" i="5"/>
  <c r="B20" i="5"/>
  <c r="B17" i="5"/>
  <c r="B18" i="5"/>
  <c r="B24" i="5"/>
  <c r="B22" i="5"/>
  <c r="B4" i="6" l="1"/>
  <c r="B13" i="6"/>
  <c r="F16" i="6"/>
  <c r="E14" i="6"/>
  <c r="E16" i="6"/>
  <c r="F14" i="6"/>
  <c r="A25" i="5" l="1"/>
  <c r="F18" i="6"/>
  <c r="E18" i="6"/>
  <c r="B25" i="5"/>
  <c r="A26" i="5" l="1"/>
  <c r="B38" i="5"/>
  <c r="C38" i="5"/>
  <c r="H9" i="5"/>
  <c r="H10" i="5" s="1"/>
  <c r="G9" i="5"/>
  <c r="G10" i="5" s="1"/>
  <c r="F9" i="5"/>
  <c r="F10" i="5" s="1"/>
  <c r="E9" i="5"/>
  <c r="E10" i="5" s="1"/>
  <c r="D9" i="5"/>
  <c r="D10" i="5" s="1"/>
  <c r="C9" i="5"/>
  <c r="C10" i="5" s="1"/>
  <c r="H5" i="5"/>
  <c r="H6" i="5" s="1"/>
  <c r="G5" i="5"/>
  <c r="G6" i="5" s="1"/>
  <c r="F5" i="5"/>
  <c r="F6" i="5" s="1"/>
  <c r="E5" i="5"/>
  <c r="E6" i="5" s="1"/>
  <c r="D5" i="5"/>
  <c r="D6" i="5" s="1"/>
  <c r="C5" i="5"/>
  <c r="C6" i="5" s="1"/>
  <c r="H3" i="5"/>
  <c r="H4" i="5" s="1"/>
  <c r="G3" i="5"/>
  <c r="G4" i="5" s="1"/>
  <c r="F3" i="5"/>
  <c r="F4" i="5" s="1"/>
  <c r="E3" i="5"/>
  <c r="E4" i="5" s="1"/>
  <c r="D3" i="5"/>
  <c r="D4" i="5" s="1"/>
  <c r="C3" i="5"/>
  <c r="C4" i="5" s="1"/>
  <c r="B26" i="5"/>
  <c r="A27" i="5" l="1"/>
  <c r="B15" i="6"/>
  <c r="B14" i="6"/>
  <c r="B16" i="6"/>
  <c r="B27" i="5"/>
  <c r="A28" i="5" l="1"/>
  <c r="B28" i="5"/>
</calcChain>
</file>

<file path=xl/sharedStrings.xml><?xml version="1.0" encoding="utf-8"?>
<sst xmlns="http://schemas.openxmlformats.org/spreadsheetml/2006/main" count="167" uniqueCount="131">
  <si>
    <t>Exercise-1</t>
  </si>
  <si>
    <t>Tenor</t>
  </si>
  <si>
    <t>Currecny</t>
  </si>
  <si>
    <t>USD</t>
  </si>
  <si>
    <t>Underlying</t>
  </si>
  <si>
    <t>Stock A</t>
  </si>
  <si>
    <t>USD 100K</t>
  </si>
  <si>
    <t>USD 50.00</t>
  </si>
  <si>
    <t>Final Redemption at Maturity</t>
  </si>
  <si>
    <t>Put Strike (K)</t>
  </si>
  <si>
    <t xml:space="preserve">Market Parameters: </t>
  </si>
  <si>
    <t>Trade Date</t>
  </si>
  <si>
    <t>Final Valuation Date</t>
  </si>
  <si>
    <t>(5 points)</t>
  </si>
  <si>
    <t>(1 point)</t>
  </si>
  <si>
    <t>Denomination</t>
  </si>
  <si>
    <t>1) Issue Price in % of Denomination</t>
  </si>
  <si>
    <t>Performance</t>
  </si>
  <si>
    <t>Exercise-2</t>
  </si>
  <si>
    <t>Observation</t>
  </si>
  <si>
    <t>Worst-of Underlying basket</t>
  </si>
  <si>
    <t>Underlying basket</t>
  </si>
  <si>
    <t>17 Nov 2017, 19 Dec 2017, 17 Jan 2018, 17 Feb 2018, 17 Mar 2018, 17 Apr 2018</t>
  </si>
  <si>
    <t>Volatility</t>
  </si>
  <si>
    <t>Stock A (US stock) and Stock B (Japanese stock)</t>
  </si>
  <si>
    <t>Volatility of Stock A</t>
  </si>
  <si>
    <t>Initial Spot - S(0) 
(the stock price at which the initial Delta is executed)</t>
  </si>
  <si>
    <t>Final Performance</t>
  </si>
  <si>
    <t>If Final Performance &gt;= K, 100% of Denomination</t>
  </si>
  <si>
    <t>1 Month + 2weeks</t>
  </si>
  <si>
    <t>6 Month + 2weeks</t>
  </si>
  <si>
    <t>JPY</t>
  </si>
  <si>
    <t>Interest Rate (flat)</t>
  </si>
  <si>
    <t>Stock B</t>
  </si>
  <si>
    <t>1.6% p.a., (30/360)</t>
  </si>
  <si>
    <t>Repo rate (continuous, ACT/365)</t>
  </si>
  <si>
    <t>Correlation</t>
  </si>
  <si>
    <t>Spot Reference - S(0)</t>
  </si>
  <si>
    <t>USD/JPY</t>
  </si>
  <si>
    <t>Volatility USD/JPY</t>
  </si>
  <si>
    <t>Issue Price</t>
  </si>
  <si>
    <t>100% of Denomination</t>
  </si>
  <si>
    <t>(12 points)</t>
  </si>
  <si>
    <t>(8 points)</t>
  </si>
  <si>
    <t xml:space="preserve">Dividend rate (continuous, ACT/365) </t>
  </si>
  <si>
    <t xml:space="preserve">Stock Price at Final Valuation Date / Initial Spot  </t>
  </si>
  <si>
    <t>Dividend rate (continuous, Act/365)</t>
  </si>
  <si>
    <t>Repo rate (continuous, Act/365)</t>
  </si>
  <si>
    <t>Interest Rate (30/360)</t>
  </si>
  <si>
    <t>Central finite difference with 1% of spot as spread</t>
  </si>
  <si>
    <t>Central finite difference with 1% of volatility</t>
  </si>
  <si>
    <t>Central finite difference with 0.05% of the rate as spread</t>
  </si>
  <si>
    <t>3) Vega in % of price (for 1% vol change)</t>
  </si>
  <si>
    <t>2) Delta in % of price (for 1% underlying price change)</t>
  </si>
  <si>
    <t xml:space="preserve">4) Rho in % of price (for 1 basis point rate change) </t>
  </si>
  <si>
    <t>Method:</t>
  </si>
  <si>
    <t xml:space="preserve">Requirement:  </t>
  </si>
  <si>
    <t xml:space="preserve">Requirement: </t>
  </si>
  <si>
    <t xml:space="preserve">Use Black-Scholes formula and Excel-VBA to calculate: </t>
  </si>
  <si>
    <t>Issue Date</t>
  </si>
  <si>
    <t>Maturity Date</t>
  </si>
  <si>
    <t>24 Nov 2017 (Fri)</t>
  </si>
  <si>
    <t>17 Oct 2017 (Tue)</t>
  </si>
  <si>
    <t>03 Oct 2017 (Tue)</t>
  </si>
  <si>
    <t xml:space="preserve">Othwise, Denomination / [K*S(0)] shares of Stock A </t>
  </si>
  <si>
    <t>Black-Scholes-Merton Model</t>
  </si>
  <si>
    <t xml:space="preserve">Note: </t>
  </si>
  <si>
    <t xml:space="preserve">1) Black-Scholes-Merton Model </t>
  </si>
  <si>
    <t>2) Excel-VBA for coding</t>
  </si>
  <si>
    <t>3) Comment your method and steps</t>
  </si>
  <si>
    <t>Stock A (US stock)</t>
  </si>
  <si>
    <t>17 Apr 2018 (Tue)</t>
  </si>
  <si>
    <t>24 Apr 2018 (Tue)</t>
  </si>
  <si>
    <t>Knock-Out Barrier</t>
  </si>
  <si>
    <t>To be calculated</t>
  </si>
  <si>
    <t>USD 50.00 for Stock A, JPY 20000.00 for stock B</t>
  </si>
  <si>
    <t>Coupon</t>
  </si>
  <si>
    <t>1% flat paid at each monthly observation (i.e. ~12% p.a.)</t>
  </si>
  <si>
    <t>100%, observed at each monthly observation date</t>
  </si>
  <si>
    <t>Issuer/Distributor margin</t>
  </si>
  <si>
    <t>4) Precision: 6 digits after the point</t>
  </si>
  <si>
    <t>a. (10 points) Using Monte Carlo Simulation to calculate the Strike.  (10 000 paths, precision 1 digits after the point)</t>
  </si>
  <si>
    <t>the date that the initial delta is executed (i.e. initial spot level is determined)</t>
  </si>
  <si>
    <t>the date the investor's money is transferred to the issuer's account</t>
  </si>
  <si>
    <t>the date that the final stock price is determined</t>
  </si>
  <si>
    <t>the date that the investor will receive the money</t>
  </si>
  <si>
    <t>Comments on the dates:</t>
  </si>
  <si>
    <t>b. (2 points) Calculate the 95% confidence Interval for the issue price with the Strike fixed at 90%. (precision: 1 digits after the point)</t>
  </si>
  <si>
    <t xml:space="preserve">4) Use the same seed for the random number generation in VBA: the first random number should be generated with Rnd(-2) and the following ones with Rnd(). </t>
  </si>
  <si>
    <t>Final Valuation Date (T)</t>
  </si>
  <si>
    <t>If (Performance(T) &gt;= K, 100% of Denomination</t>
  </si>
  <si>
    <t>Issuer/Distributor Margin</t>
    <phoneticPr fontId="1" type="noConversion"/>
  </si>
  <si>
    <t xml:space="preserve">Otherwise, X(T) x Denomination / [K x S*(0)] shares of S*, 
where S*(0) is the initial price of the worst performing stock at maturity.  X(T) = 1 if S* is US stock, other wise, X(T) is the prevailing USD/JPY exchange rate at Final Valuation Date.  </t>
    <phoneticPr fontId="1" type="noConversion"/>
  </si>
  <si>
    <t>Asset parameters</t>
    <phoneticPr fontId="19" type="noConversion"/>
  </si>
  <si>
    <t>Strike Price(K)</t>
    <phoneticPr fontId="19" type="noConversion"/>
  </si>
  <si>
    <t>17 Nov 2017 (Fri)</t>
    <phoneticPr fontId="1" type="noConversion"/>
  </si>
  <si>
    <t>Initial Price(S_0)</t>
    <phoneticPr fontId="19" type="noConversion"/>
  </si>
  <si>
    <t>Contract_Value(S_0*1.01)</t>
    <phoneticPr fontId="19" type="noConversion"/>
  </si>
  <si>
    <t>Contract_Value(S_0*0.99)</t>
    <phoneticPr fontId="19" type="noConversion"/>
  </si>
  <si>
    <t>Contract_Value(sigma+1%)</t>
    <phoneticPr fontId="19" type="noConversion"/>
  </si>
  <si>
    <t>Contract_Value(sigma-1%)</t>
    <phoneticPr fontId="19" type="noConversion"/>
  </si>
  <si>
    <t>Volatility of Stock A(sigma)</t>
    <phoneticPr fontId="19" type="noConversion"/>
  </si>
  <si>
    <t>Dividend rate (continuous, Act/365)(q)</t>
    <phoneticPr fontId="19" type="noConversion"/>
  </si>
  <si>
    <t>Repo rate (continuous, Act/365)(repo)</t>
    <phoneticPr fontId="19" type="noConversion"/>
  </si>
  <si>
    <t>Contract_Value(r+0.05%)</t>
    <phoneticPr fontId="19" type="noConversion"/>
  </si>
  <si>
    <t>Contract_Value(r-0.05%)</t>
    <phoneticPr fontId="19" type="noConversion"/>
  </si>
  <si>
    <t>Contract_Value</t>
    <phoneticPr fontId="19" type="noConversion"/>
  </si>
  <si>
    <t>date</t>
    <phoneticPr fontId="1" type="noConversion"/>
  </si>
  <si>
    <t>Coupon</t>
    <phoneticPr fontId="1" type="noConversion"/>
  </si>
  <si>
    <t>PV of Each Coupon</t>
    <phoneticPr fontId="4" type="noConversion"/>
  </si>
  <si>
    <t>Strike Price</t>
    <phoneticPr fontId="4" type="noConversion"/>
  </si>
  <si>
    <t>contract_value</t>
    <phoneticPr fontId="4" type="noConversion"/>
  </si>
  <si>
    <t>a.</t>
    <phoneticPr fontId="4" type="noConversion"/>
  </si>
  <si>
    <t>b.</t>
    <phoneticPr fontId="4" type="noConversion"/>
  </si>
  <si>
    <t xml:space="preserve">The sample error </t>
    <phoneticPr fontId="4" type="noConversion"/>
  </si>
  <si>
    <t>SE</t>
    <phoneticPr fontId="4" type="noConversion"/>
  </si>
  <si>
    <t>The 95% confidence Interval</t>
    <phoneticPr fontId="4" type="noConversion"/>
  </si>
  <si>
    <t>Interest Rate (continuous,Act/365)(rate)</t>
    <phoneticPr fontId="19" type="noConversion"/>
  </si>
  <si>
    <t>Issuer/Distributor Margin</t>
  </si>
  <si>
    <t>More details are revealed in the attached word file</t>
    <phoneticPr fontId="19" type="noConversion"/>
  </si>
  <si>
    <t>time_interval</t>
  </si>
  <si>
    <t>time_interval(year)</t>
    <phoneticPr fontId="1" type="noConversion"/>
  </si>
  <si>
    <t>time_sum</t>
    <phoneticPr fontId="1" type="noConversion"/>
  </si>
  <si>
    <t>time_sum(year)</t>
    <phoneticPr fontId="4" type="noConversion"/>
  </si>
  <si>
    <t>day(30/360)</t>
    <phoneticPr fontId="4" type="noConversion"/>
  </si>
  <si>
    <t>year(30/360)</t>
    <phoneticPr fontId="1" type="noConversion"/>
  </si>
  <si>
    <t>interest rate USD(continuous,Act/365)</t>
    <phoneticPr fontId="4" type="noConversion"/>
  </si>
  <si>
    <t>Precious Strike</t>
    <phoneticPr fontId="4" type="noConversion"/>
  </si>
  <si>
    <t>The Strike is between 0.72 or 0.73</t>
    <phoneticPr fontId="4" type="noConversion"/>
  </si>
  <si>
    <t>Consider the below Equity Linked Note:</t>
    <phoneticPr fontId="1" type="noConversion"/>
  </si>
  <si>
    <t>Consider the below Fixed Coupon Note (FCN):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</si>
</sst>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00%"/>
    <numFmt numFmtId="177" formatCode="0.000000%"/>
    <numFmt numFmtId="178" formatCode="0.000000"/>
    <numFmt numFmtId="179" formatCode="0.00000000%"/>
    <numFmt numFmtId="180" formatCode="0.0000"/>
  </numFmts>
  <fonts count="22" x14ac:knownFonts="1"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2"/>
      <name val="新細明體"/>
      <family val="1"/>
      <charset val="136"/>
    </font>
    <font>
      <sz val="12"/>
      <name val="Arial"/>
      <family val="2"/>
    </font>
    <font>
      <sz val="9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  <font>
      <b/>
      <sz val="14"/>
      <color theme="1"/>
      <name val="宋体"/>
      <family val="3"/>
      <charset val="134"/>
      <scheme val="minor"/>
    </font>
    <font>
      <b/>
      <sz val="11"/>
      <color rgb="FF0070C0"/>
      <name val="宋体"/>
      <family val="3"/>
      <charset val="134"/>
      <scheme val="minor"/>
    </font>
    <font>
      <sz val="11"/>
      <color rgb="FF0070C0"/>
      <name val="宋体"/>
      <family val="3"/>
      <charset val="134"/>
      <scheme val="minor"/>
    </font>
    <font>
      <i/>
      <sz val="11"/>
      <color rgb="FF00B050"/>
      <name val="宋体"/>
      <family val="3"/>
      <charset val="134"/>
      <scheme val="minor"/>
    </font>
    <font>
      <i/>
      <sz val="11"/>
      <color rgb="FF0070C0"/>
      <name val="宋体"/>
      <family val="3"/>
      <charset val="134"/>
      <scheme val="minor"/>
    </font>
    <font>
      <b/>
      <sz val="11"/>
      <color rgb="FF00B050"/>
      <name val="宋体"/>
      <family val="3"/>
      <charset val="134"/>
      <scheme val="minor"/>
    </font>
    <font>
      <sz val="11"/>
      <color rgb="FF00B050"/>
      <name val="宋体"/>
      <family val="3"/>
      <charset val="134"/>
      <scheme val="minor"/>
    </font>
    <font>
      <b/>
      <i/>
      <sz val="11"/>
      <color rgb="FF00B050"/>
      <name val="宋体"/>
      <family val="3"/>
      <charset val="134"/>
      <scheme val="minor"/>
    </font>
    <font>
      <b/>
      <sz val="16"/>
      <color rgb="FF0070C0"/>
      <name val="宋体"/>
      <family val="3"/>
      <charset val="134"/>
      <scheme val="minor"/>
    </font>
    <font>
      <sz val="14"/>
      <color rgb="FF0070C0"/>
      <name val="宋体"/>
      <family val="3"/>
      <charset val="134"/>
      <scheme val="minor"/>
    </font>
    <font>
      <sz val="16"/>
      <color rgb="FF0070C0"/>
      <name val="宋体"/>
      <family val="3"/>
      <charset val="134"/>
      <scheme val="minor"/>
    </font>
    <font>
      <sz val="11"/>
      <color rgb="FF9C5700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7" tint="-0.499984740745262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B9C"/>
      </patternFill>
    </fill>
    <fill>
      <patternFill patternType="solid">
        <fgColor rgb="FFF2F2F2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">
    <xf numFmtId="0" fontId="0" fillId="0" borderId="0"/>
    <xf numFmtId="0" fontId="2" fillId="0" borderId="0"/>
    <xf numFmtId="0" fontId="17" fillId="3" borderId="0" applyNumberFormat="0" applyBorder="0" applyAlignment="0" applyProtection="0">
      <alignment vertical="center"/>
    </xf>
    <xf numFmtId="0" fontId="18" fillId="4" borderId="11" applyNumberFormat="0" applyAlignment="0" applyProtection="0">
      <alignment vertical="center"/>
    </xf>
  </cellStyleXfs>
  <cellXfs count="98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0" fillId="0" borderId="0" xfId="0" applyBorder="1" applyAlignment="1">
      <alignment vertical="top"/>
    </xf>
    <xf numFmtId="0" fontId="0" fillId="2" borderId="0" xfId="0" applyFill="1" applyBorder="1" applyAlignment="1">
      <alignment vertical="top"/>
    </xf>
    <xf numFmtId="0" fontId="6" fillId="2" borderId="0" xfId="0" applyFont="1" applyFill="1" applyBorder="1" applyAlignment="1">
      <alignment vertical="top"/>
    </xf>
    <xf numFmtId="0" fontId="0" fillId="2" borderId="1" xfId="0" applyFill="1" applyBorder="1" applyAlignment="1">
      <alignment vertical="top"/>
    </xf>
    <xf numFmtId="15" fontId="0" fillId="2" borderId="1" xfId="0" applyNumberFormat="1" applyFill="1" applyBorder="1" applyAlignment="1">
      <alignment vertical="top"/>
    </xf>
    <xf numFmtId="9" fontId="0" fillId="2" borderId="1" xfId="0" applyNumberFormat="1" applyFill="1" applyBorder="1" applyAlignment="1">
      <alignment horizontal="left" vertical="top"/>
    </xf>
    <xf numFmtId="0" fontId="0" fillId="2" borderId="1" xfId="0" applyFill="1" applyBorder="1" applyAlignment="1">
      <alignment vertical="top" wrapText="1"/>
    </xf>
    <xf numFmtId="0" fontId="0" fillId="2" borderId="1" xfId="0" applyFill="1" applyBorder="1" applyAlignment="1">
      <alignment vertical="center"/>
    </xf>
    <xf numFmtId="0" fontId="0" fillId="2" borderId="1" xfId="0" applyFill="1" applyBorder="1" applyAlignment="1">
      <alignment horizontal="left" vertical="center" wrapText="1"/>
    </xf>
    <xf numFmtId="10" fontId="0" fillId="2" borderId="1" xfId="0" applyNumberFormat="1" applyFill="1" applyBorder="1" applyAlignment="1">
      <alignment horizontal="left" vertical="top"/>
    </xf>
    <xf numFmtId="0" fontId="5" fillId="2" borderId="0" xfId="0" applyFont="1" applyFill="1" applyBorder="1" applyAlignment="1">
      <alignment vertical="top"/>
    </xf>
    <xf numFmtId="0" fontId="0" fillId="2" borderId="0" xfId="0" applyFill="1" applyAlignment="1">
      <alignment vertical="top"/>
    </xf>
    <xf numFmtId="0" fontId="0" fillId="2" borderId="0" xfId="0" applyFill="1" applyAlignment="1">
      <alignment horizontal="center" vertical="top"/>
    </xf>
    <xf numFmtId="0" fontId="6" fillId="2" borderId="0" xfId="0" applyFont="1" applyFill="1" applyAlignment="1">
      <alignment vertical="top"/>
    </xf>
    <xf numFmtId="0" fontId="5" fillId="2" borderId="0" xfId="0" applyFont="1" applyFill="1" applyAlignment="1">
      <alignment vertical="top"/>
    </xf>
    <xf numFmtId="0" fontId="5" fillId="2" borderId="1" xfId="0" applyFont="1" applyFill="1" applyBorder="1" applyAlignment="1">
      <alignment horizontal="center" vertical="top"/>
    </xf>
    <xf numFmtId="10" fontId="0" fillId="2" borderId="1" xfId="0" applyNumberFormat="1" applyFill="1" applyBorder="1" applyAlignment="1">
      <alignment horizontal="center" vertical="top"/>
    </xf>
    <xf numFmtId="9" fontId="0" fillId="2" borderId="1" xfId="0" applyNumberFormat="1" applyFill="1" applyBorder="1" applyAlignment="1">
      <alignment horizontal="center" vertical="top"/>
    </xf>
    <xf numFmtId="0" fontId="0" fillId="2" borderId="1" xfId="0" applyFill="1" applyBorder="1" applyAlignment="1">
      <alignment horizontal="center" vertical="top"/>
    </xf>
    <xf numFmtId="2" fontId="0" fillId="2" borderId="1" xfId="0" applyNumberFormat="1" applyFill="1" applyBorder="1" applyAlignment="1">
      <alignment horizontal="center" vertical="top"/>
    </xf>
    <xf numFmtId="0" fontId="7" fillId="2" borderId="0" xfId="0" applyFont="1" applyFill="1" applyAlignment="1">
      <alignment vertical="top"/>
    </xf>
    <xf numFmtId="0" fontId="8" fillId="2" borderId="0" xfId="0" applyFont="1" applyFill="1" applyAlignment="1">
      <alignment vertical="top"/>
    </xf>
    <xf numFmtId="0" fontId="9" fillId="2" borderId="0" xfId="0" applyFont="1" applyFill="1" applyAlignment="1">
      <alignment vertical="top"/>
    </xf>
    <xf numFmtId="0" fontId="7" fillId="2" borderId="0" xfId="0" applyFont="1" applyFill="1" applyBorder="1" applyAlignment="1">
      <alignment vertical="top"/>
    </xf>
    <xf numFmtId="0" fontId="8" fillId="2" borderId="0" xfId="0" applyFont="1" applyFill="1" applyBorder="1" applyAlignment="1">
      <alignment vertical="top"/>
    </xf>
    <xf numFmtId="0" fontId="8" fillId="2" borderId="1" xfId="0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0" fillId="2" borderId="0" xfId="0" applyFont="1" applyFill="1" applyBorder="1" applyAlignment="1">
      <alignment vertical="top"/>
    </xf>
    <xf numFmtId="0" fontId="11" fillId="2" borderId="0" xfId="0" applyFont="1" applyFill="1" applyBorder="1" applyAlignment="1">
      <alignment vertical="top"/>
    </xf>
    <xf numFmtId="0" fontId="12" fillId="2" borderId="0" xfId="0" applyFont="1" applyFill="1" applyBorder="1" applyAlignment="1">
      <alignment vertical="top"/>
    </xf>
    <xf numFmtId="0" fontId="13" fillId="2" borderId="0" xfId="0" applyFont="1" applyFill="1" applyAlignment="1">
      <alignment vertical="top"/>
    </xf>
    <xf numFmtId="0" fontId="13" fillId="2" borderId="0" xfId="0" applyFont="1" applyFill="1" applyBorder="1" applyAlignment="1">
      <alignment vertical="top"/>
    </xf>
    <xf numFmtId="0" fontId="14" fillId="2" borderId="0" xfId="0" applyFont="1" applyFill="1" applyBorder="1" applyAlignment="1">
      <alignment vertical="top"/>
    </xf>
    <xf numFmtId="0" fontId="14" fillId="2" borderId="0" xfId="0" applyFont="1" applyFill="1" applyAlignment="1">
      <alignment vertical="top"/>
    </xf>
    <xf numFmtId="0" fontId="15" fillId="2" borderId="0" xfId="0" applyFont="1" applyFill="1" applyAlignment="1">
      <alignment vertical="top"/>
    </xf>
    <xf numFmtId="0" fontId="16" fillId="2" borderId="0" xfId="0" applyFont="1" applyFill="1" applyBorder="1" applyAlignment="1">
      <alignment vertical="top"/>
    </xf>
    <xf numFmtId="14" fontId="0" fillId="0" borderId="0" xfId="0" applyNumberFormat="1" applyAlignment="1">
      <alignment vertical="top"/>
    </xf>
    <xf numFmtId="10" fontId="0" fillId="2" borderId="0" xfId="0" applyNumberFormat="1" applyFill="1" applyBorder="1" applyAlignment="1">
      <alignment vertical="top"/>
    </xf>
    <xf numFmtId="0" fontId="3" fillId="0" borderId="0" xfId="1" applyFont="1" applyAlignment="1">
      <alignment horizontal="center"/>
    </xf>
    <xf numFmtId="0" fontId="5" fillId="0" borderId="0" xfId="0" applyFont="1" applyAlignment="1">
      <alignment horizontal="center"/>
    </xf>
    <xf numFmtId="0" fontId="18" fillId="4" borderId="11" xfId="3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176" fontId="18" fillId="4" borderId="11" xfId="3" applyNumberFormat="1" applyAlignment="1">
      <alignment horizontal="center"/>
    </xf>
    <xf numFmtId="177" fontId="8" fillId="2" borderId="1" xfId="0" applyNumberFormat="1" applyFont="1" applyFill="1" applyBorder="1" applyAlignment="1">
      <alignment horizontal="center" vertical="top"/>
    </xf>
    <xf numFmtId="0" fontId="8" fillId="2" borderId="1" xfId="0" applyFont="1" applyFill="1" applyBorder="1" applyAlignment="1">
      <alignment horizontal="left" vertical="top" wrapText="1"/>
    </xf>
    <xf numFmtId="0" fontId="8" fillId="2" borderId="1" xfId="0" applyFont="1" applyFill="1" applyBorder="1" applyAlignment="1">
      <alignment horizontal="left" vertical="top"/>
    </xf>
    <xf numFmtId="0" fontId="0" fillId="2" borderId="2" xfId="0" applyFill="1" applyBorder="1" applyAlignment="1">
      <alignment vertical="top"/>
    </xf>
    <xf numFmtId="0" fontId="0" fillId="0" borderId="8" xfId="0" applyBorder="1"/>
    <xf numFmtId="14" fontId="0" fillId="0" borderId="4" xfId="0" applyNumberFormat="1" applyBorder="1"/>
    <xf numFmtId="14" fontId="0" fillId="0" borderId="9" xfId="0" applyNumberFormat="1" applyBorder="1"/>
    <xf numFmtId="0" fontId="0" fillId="0" borderId="3" xfId="0" applyBorder="1"/>
    <xf numFmtId="0" fontId="0" fillId="0" borderId="0" xfId="0" applyBorder="1"/>
    <xf numFmtId="0" fontId="0" fillId="0" borderId="1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3" xfId="0" applyFill="1" applyBorder="1"/>
    <xf numFmtId="0" fontId="17" fillId="3" borderId="8" xfId="2" applyBorder="1" applyAlignment="1"/>
    <xf numFmtId="0" fontId="17" fillId="3" borderId="9" xfId="2" applyBorder="1" applyAlignment="1"/>
    <xf numFmtId="0" fontId="17" fillId="3" borderId="5" xfId="2" applyBorder="1" applyAlignment="1"/>
    <xf numFmtId="0" fontId="17" fillId="3" borderId="7" xfId="2" applyBorder="1" applyAlignment="1"/>
    <xf numFmtId="0" fontId="0" fillId="0" borderId="13" xfId="0" applyBorder="1"/>
    <xf numFmtId="0" fontId="0" fillId="0" borderId="14" xfId="0" applyBorder="1"/>
    <xf numFmtId="0" fontId="8" fillId="2" borderId="8" xfId="0" applyFont="1" applyFill="1" applyBorder="1" applyAlignment="1">
      <alignment vertical="top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2" borderId="1" xfId="0" applyFill="1" applyBorder="1" applyAlignment="1">
      <alignment horizontal="left" vertical="center" wrapText="1"/>
    </xf>
    <xf numFmtId="10" fontId="18" fillId="4" borderId="11" xfId="3" applyNumberFormat="1" applyAlignment="1">
      <alignment horizontal="center"/>
    </xf>
    <xf numFmtId="179" fontId="0" fillId="0" borderId="0" xfId="0" applyNumberFormat="1"/>
    <xf numFmtId="0" fontId="5" fillId="0" borderId="0" xfId="0" applyFont="1"/>
    <xf numFmtId="0" fontId="8" fillId="2" borderId="16" xfId="0" applyFont="1" applyFill="1" applyBorder="1" applyAlignment="1">
      <alignment vertical="top"/>
    </xf>
    <xf numFmtId="0" fontId="0" fillId="0" borderId="15" xfId="0" applyBorder="1"/>
    <xf numFmtId="178" fontId="0" fillId="0" borderId="3" xfId="0" applyNumberFormat="1" applyBorder="1" applyAlignment="1">
      <alignment horizontal="center"/>
    </xf>
    <xf numFmtId="178" fontId="0" fillId="0" borderId="10" xfId="0" applyNumberFormat="1" applyBorder="1" applyAlignment="1">
      <alignment horizontal="center"/>
    </xf>
    <xf numFmtId="178" fontId="0" fillId="0" borderId="5" xfId="0" applyNumberFormat="1" applyBorder="1" applyAlignment="1">
      <alignment horizontal="center"/>
    </xf>
    <xf numFmtId="178" fontId="0" fillId="0" borderId="7" xfId="0" applyNumberFormat="1" applyBorder="1" applyAlignment="1">
      <alignment horizontal="center"/>
    </xf>
    <xf numFmtId="177" fontId="0" fillId="0" borderId="0" xfId="0" applyNumberFormat="1" applyBorder="1"/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177" fontId="0" fillId="0" borderId="1" xfId="0" applyNumberFormat="1" applyBorder="1" applyAlignment="1">
      <alignment horizontal="center"/>
    </xf>
    <xf numFmtId="177" fontId="0" fillId="0" borderId="0" xfId="0" applyNumberFormat="1" applyAlignment="1">
      <alignment horizontal="center"/>
    </xf>
    <xf numFmtId="0" fontId="20" fillId="0" borderId="0" xfId="0" applyFont="1"/>
    <xf numFmtId="0" fontId="0" fillId="0" borderId="2" xfId="0" applyBorder="1"/>
    <xf numFmtId="0" fontId="0" fillId="0" borderId="17" xfId="0" applyBorder="1"/>
    <xf numFmtId="180" fontId="0" fillId="0" borderId="10" xfId="0" applyNumberFormat="1" applyBorder="1" applyAlignment="1">
      <alignment horizontal="center"/>
    </xf>
    <xf numFmtId="180" fontId="0" fillId="0" borderId="6" xfId="0" applyNumberFormat="1" applyBorder="1" applyAlignment="1">
      <alignment horizontal="center"/>
    </xf>
    <xf numFmtId="180" fontId="0" fillId="0" borderId="7" xfId="0" applyNumberFormat="1" applyBorder="1" applyAlignment="1">
      <alignment horizontal="center"/>
    </xf>
    <xf numFmtId="0" fontId="0" fillId="2" borderId="1" xfId="0" applyFill="1" applyBorder="1" applyAlignment="1">
      <alignment horizontal="left" vertical="center" wrapText="1"/>
    </xf>
  </cellXfs>
  <cellStyles count="4">
    <cellStyle name="Normal_spreadmod_module3_VBA1_ans" xfId="1" xr:uid="{00000000-0005-0000-0000-000000000000}"/>
    <cellStyle name="常规" xfId="0" builtinId="0"/>
    <cellStyle name="计算" xfId="3" builtinId="22"/>
    <cellStyle name="适中" xfId="2" builtinId="2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812357792"/>
        <c:axId val="812359104"/>
      </c:scatterChart>
      <c:valAx>
        <c:axId val="812357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12359104"/>
        <c:crosses val="autoZero"/>
        <c:crossBetween val="midCat"/>
      </c:valAx>
      <c:valAx>
        <c:axId val="81235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12357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685800</xdr:colOff>
      <xdr:row>388</xdr:row>
      <xdr:rowOff>7620</xdr:rowOff>
    </xdr:from>
    <xdr:to>
      <xdr:col>13</xdr:col>
      <xdr:colOff>38100</xdr:colOff>
      <xdr:row>403</xdr:row>
      <xdr:rowOff>7620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289560</xdr:colOff>
          <xdr:row>24</xdr:row>
          <xdr:rowOff>167640</xdr:rowOff>
        </xdr:from>
        <xdr:to>
          <xdr:col>6</xdr:col>
          <xdr:colOff>7620</xdr:colOff>
          <xdr:row>26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 K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236220</xdr:colOff>
      <xdr:row>24</xdr:row>
      <xdr:rowOff>68580</xdr:rowOff>
    </xdr:from>
    <xdr:to>
      <xdr:col>9</xdr:col>
      <xdr:colOff>99060</xdr:colOff>
      <xdr:row>28</xdr:row>
      <xdr:rowOff>167640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5806440" y="4457700"/>
          <a:ext cx="1920240" cy="8305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100"/>
            <a:t>More Precious result can</a:t>
          </a:r>
          <a:r>
            <a:rPr lang="en-US" altLang="zh-CN" sz="1100" baseline="0"/>
            <a:t> be</a:t>
          </a:r>
          <a:r>
            <a:rPr lang="en-US" altLang="zh-CN" sz="1100"/>
            <a:t> calculated through bisection method. Press</a:t>
          </a:r>
          <a:r>
            <a:rPr lang="en-US" altLang="zh-CN" sz="1100" baseline="0"/>
            <a:t> the button to get K.</a:t>
          </a:r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</xdr:colOff>
          <xdr:row>34</xdr:row>
          <xdr:rowOff>114300</xdr:rowOff>
        </xdr:from>
        <xdr:to>
          <xdr:col>5</xdr:col>
          <xdr:colOff>655320</xdr:colOff>
          <xdr:row>36</xdr:row>
          <xdr:rowOff>99060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 C.I.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167640</xdr:colOff>
      <xdr:row>34</xdr:row>
      <xdr:rowOff>60960</xdr:rowOff>
    </xdr:from>
    <xdr:to>
      <xdr:col>9</xdr:col>
      <xdr:colOff>7620</xdr:colOff>
      <xdr:row>36</xdr:row>
      <xdr:rowOff>160020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5737860" y="6278880"/>
          <a:ext cx="1897380" cy="4648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CN" sz="1100"/>
            <a:t>Press the button to get the standard</a:t>
          </a:r>
          <a:r>
            <a:rPr lang="en-US" altLang="zh-CN" sz="1100" baseline="0"/>
            <a:t> error and confidence interval of 95%</a:t>
          </a:r>
          <a:endParaRPr lang="zh-CN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98"/>
  <sheetViews>
    <sheetView tabSelected="1" workbookViewId="0">
      <selection activeCell="B19" sqref="B19"/>
    </sheetView>
  </sheetViews>
  <sheetFormatPr defaultColWidth="8.77734375" defaultRowHeight="14.4" x14ac:dyDescent="0.25"/>
  <cols>
    <col min="1" max="1" width="49.5546875" style="1" customWidth="1"/>
    <col min="2" max="2" width="53.88671875" style="1" customWidth="1"/>
    <col min="3" max="3" width="69.44140625" style="1" customWidth="1"/>
    <col min="4" max="4" width="14" style="1" customWidth="1"/>
    <col min="5" max="16384" width="8.77734375" style="1"/>
  </cols>
  <sheetData>
    <row r="1" spans="1:4" x14ac:dyDescent="0.25">
      <c r="A1" s="4"/>
      <c r="B1" s="4"/>
      <c r="C1" s="4"/>
    </row>
    <row r="2" spans="1:4" ht="20.399999999999999" x14ac:dyDescent="0.25">
      <c r="A2" s="35" t="s">
        <v>0</v>
      </c>
      <c r="B2" s="38" t="s">
        <v>43</v>
      </c>
      <c r="C2" s="4"/>
    </row>
    <row r="3" spans="1:4" ht="17.399999999999999" x14ac:dyDescent="0.25">
      <c r="A3" s="5"/>
      <c r="B3" s="4"/>
      <c r="C3" s="4"/>
    </row>
    <row r="4" spans="1:4" x14ac:dyDescent="0.25">
      <c r="A4" s="4" t="s">
        <v>129</v>
      </c>
      <c r="B4" s="4"/>
      <c r="C4" s="4"/>
    </row>
    <row r="5" spans="1:4" x14ac:dyDescent="0.25">
      <c r="A5" s="4"/>
      <c r="B5" s="4"/>
      <c r="C5" s="4"/>
    </row>
    <row r="6" spans="1:4" x14ac:dyDescent="0.25">
      <c r="A6" s="6" t="s">
        <v>1</v>
      </c>
      <c r="B6" s="6" t="s">
        <v>29</v>
      </c>
      <c r="C6" s="34" t="s">
        <v>86</v>
      </c>
    </row>
    <row r="7" spans="1:4" x14ac:dyDescent="0.25">
      <c r="A7" s="6" t="s">
        <v>11</v>
      </c>
      <c r="B7" s="6" t="s">
        <v>63</v>
      </c>
      <c r="C7" s="32" t="s">
        <v>82</v>
      </c>
    </row>
    <row r="8" spans="1:4" x14ac:dyDescent="0.25">
      <c r="A8" s="6" t="s">
        <v>59</v>
      </c>
      <c r="B8" s="7" t="s">
        <v>62</v>
      </c>
      <c r="C8" s="32" t="s">
        <v>83</v>
      </c>
    </row>
    <row r="9" spans="1:4" x14ac:dyDescent="0.25">
      <c r="A9" s="6" t="s">
        <v>12</v>
      </c>
      <c r="B9" s="6" t="s">
        <v>95</v>
      </c>
      <c r="C9" s="32" t="s">
        <v>84</v>
      </c>
    </row>
    <row r="10" spans="1:4" x14ac:dyDescent="0.25">
      <c r="A10" s="6" t="s">
        <v>60</v>
      </c>
      <c r="B10" s="6" t="s">
        <v>61</v>
      </c>
      <c r="C10" s="32" t="s">
        <v>85</v>
      </c>
    </row>
    <row r="11" spans="1:4" x14ac:dyDescent="0.25">
      <c r="A11" s="6" t="s">
        <v>15</v>
      </c>
      <c r="B11" s="6" t="s">
        <v>6</v>
      </c>
      <c r="C11" s="4"/>
      <c r="D11" s="39"/>
    </row>
    <row r="12" spans="1:4" x14ac:dyDescent="0.25">
      <c r="A12" s="6" t="s">
        <v>2</v>
      </c>
      <c r="B12" s="6" t="s">
        <v>3</v>
      </c>
      <c r="C12" s="4"/>
      <c r="D12" s="39"/>
    </row>
    <row r="13" spans="1:4" x14ac:dyDescent="0.25">
      <c r="A13" s="6" t="s">
        <v>9</v>
      </c>
      <c r="B13" s="8">
        <v>0.93</v>
      </c>
      <c r="C13" s="4"/>
    </row>
    <row r="14" spans="1:4" x14ac:dyDescent="0.25">
      <c r="A14" s="6" t="s">
        <v>4</v>
      </c>
      <c r="B14" s="6" t="s">
        <v>70</v>
      </c>
      <c r="C14" s="4"/>
    </row>
    <row r="15" spans="1:4" ht="43.2" x14ac:dyDescent="0.25">
      <c r="A15" s="9" t="s">
        <v>26</v>
      </c>
      <c r="B15" s="10" t="s">
        <v>7</v>
      </c>
      <c r="C15" s="4"/>
    </row>
    <row r="16" spans="1:4" x14ac:dyDescent="0.25">
      <c r="A16" s="9" t="s">
        <v>27</v>
      </c>
      <c r="B16" s="10" t="s">
        <v>45</v>
      </c>
      <c r="C16" s="4"/>
    </row>
    <row r="17" spans="1:3" x14ac:dyDescent="0.25">
      <c r="A17" s="97" t="s">
        <v>8</v>
      </c>
      <c r="B17" s="9" t="s">
        <v>28</v>
      </c>
      <c r="C17" s="4"/>
    </row>
    <row r="18" spans="1:3" x14ac:dyDescent="0.25">
      <c r="A18" s="97"/>
      <c r="B18" s="6" t="s">
        <v>64</v>
      </c>
      <c r="C18" s="4"/>
    </row>
    <row r="19" spans="1:3" x14ac:dyDescent="0.25">
      <c r="A19" s="11" t="s">
        <v>91</v>
      </c>
      <c r="B19" s="12">
        <v>3.0000000000000001E-3</v>
      </c>
      <c r="C19" s="4"/>
    </row>
    <row r="20" spans="1:3" x14ac:dyDescent="0.25">
      <c r="A20" s="4"/>
      <c r="B20" s="4"/>
      <c r="C20" s="4"/>
    </row>
    <row r="21" spans="1:3" x14ac:dyDescent="0.25">
      <c r="A21" s="13" t="s">
        <v>10</v>
      </c>
      <c r="B21" s="4"/>
      <c r="C21" s="4"/>
    </row>
    <row r="22" spans="1:3" x14ac:dyDescent="0.25">
      <c r="A22" s="6" t="s">
        <v>48</v>
      </c>
      <c r="B22" s="12">
        <v>1.35E-2</v>
      </c>
      <c r="C22" s="40"/>
    </row>
    <row r="23" spans="1:3" x14ac:dyDescent="0.25">
      <c r="A23" s="6" t="s">
        <v>25</v>
      </c>
      <c r="B23" s="8">
        <v>0.3</v>
      </c>
      <c r="C23" s="4"/>
    </row>
    <row r="24" spans="1:3" x14ac:dyDescent="0.25">
      <c r="A24" s="9" t="s">
        <v>46</v>
      </c>
      <c r="B24" s="12">
        <v>3.5000000000000003E-2</v>
      </c>
      <c r="C24" s="40"/>
    </row>
    <row r="25" spans="1:3" x14ac:dyDescent="0.25">
      <c r="A25" s="6" t="s">
        <v>47</v>
      </c>
      <c r="B25" s="12">
        <v>0.02</v>
      </c>
      <c r="C25" s="40"/>
    </row>
    <row r="26" spans="1:3" x14ac:dyDescent="0.25">
      <c r="A26" s="4"/>
      <c r="B26" s="4"/>
      <c r="C26" s="4"/>
    </row>
    <row r="27" spans="1:3" x14ac:dyDescent="0.25">
      <c r="A27" s="4"/>
      <c r="B27" s="4"/>
      <c r="C27" s="4"/>
    </row>
    <row r="28" spans="1:3" x14ac:dyDescent="0.25">
      <c r="A28" s="26" t="s">
        <v>57</v>
      </c>
      <c r="B28" s="27"/>
      <c r="C28" s="27"/>
    </row>
    <row r="29" spans="1:3" s="3" customFormat="1" x14ac:dyDescent="0.25">
      <c r="A29" s="27" t="s">
        <v>58</v>
      </c>
      <c r="B29" s="26"/>
      <c r="C29" s="27"/>
    </row>
    <row r="30" spans="1:3" x14ac:dyDescent="0.25">
      <c r="A30" s="28" t="s">
        <v>16</v>
      </c>
      <c r="B30" s="29" t="s">
        <v>13</v>
      </c>
      <c r="C30" s="31" t="s">
        <v>55</v>
      </c>
    </row>
    <row r="31" spans="1:3" x14ac:dyDescent="0.25">
      <c r="A31" s="29" t="s">
        <v>53</v>
      </c>
      <c r="B31" s="29" t="s">
        <v>14</v>
      </c>
      <c r="C31" s="32" t="s">
        <v>49</v>
      </c>
    </row>
    <row r="32" spans="1:3" x14ac:dyDescent="0.25">
      <c r="A32" s="29" t="s">
        <v>52</v>
      </c>
      <c r="B32" s="29" t="s">
        <v>14</v>
      </c>
      <c r="C32" s="32" t="s">
        <v>50</v>
      </c>
    </row>
    <row r="33" spans="1:3" x14ac:dyDescent="0.25">
      <c r="A33" s="29" t="s">
        <v>54</v>
      </c>
      <c r="B33" s="29" t="s">
        <v>14</v>
      </c>
      <c r="C33" s="32" t="s">
        <v>51</v>
      </c>
    </row>
    <row r="34" spans="1:3" x14ac:dyDescent="0.25">
      <c r="A34" s="27"/>
      <c r="B34" s="27"/>
      <c r="C34" s="27"/>
    </row>
    <row r="35" spans="1:3" x14ac:dyDescent="0.25">
      <c r="A35" s="30"/>
      <c r="B35" s="27"/>
      <c r="C35" s="27"/>
    </row>
    <row r="36" spans="1:3" x14ac:dyDescent="0.25">
      <c r="A36" s="33" t="s">
        <v>66</v>
      </c>
      <c r="B36" s="4"/>
      <c r="C36" s="4"/>
    </row>
    <row r="37" spans="1:3" x14ac:dyDescent="0.25">
      <c r="A37" s="25" t="s">
        <v>67</v>
      </c>
      <c r="B37" s="4"/>
      <c r="C37" s="4"/>
    </row>
    <row r="38" spans="1:3" x14ac:dyDescent="0.25">
      <c r="A38" s="25" t="s">
        <v>68</v>
      </c>
      <c r="B38" s="4"/>
      <c r="C38" s="4"/>
    </row>
    <row r="39" spans="1:3" x14ac:dyDescent="0.25">
      <c r="A39" s="25" t="s">
        <v>69</v>
      </c>
      <c r="B39" s="4"/>
      <c r="C39" s="4"/>
    </row>
    <row r="40" spans="1:3" x14ac:dyDescent="0.25">
      <c r="A40" s="25" t="s">
        <v>80</v>
      </c>
      <c r="B40" s="4"/>
      <c r="C40" s="4"/>
    </row>
    <row r="41" spans="1:3" x14ac:dyDescent="0.25">
      <c r="A41" s="4"/>
      <c r="B41" s="4"/>
      <c r="C41" s="4"/>
    </row>
    <row r="42" spans="1:3" x14ac:dyDescent="0.25">
      <c r="A42" s="4"/>
      <c r="B42" s="4"/>
      <c r="C42" s="4"/>
    </row>
    <row r="43" spans="1:3" x14ac:dyDescent="0.25">
      <c r="A43" s="4"/>
      <c r="B43" s="4"/>
      <c r="C43" s="4"/>
    </row>
    <row r="44" spans="1:3" x14ac:dyDescent="0.25">
      <c r="A44" s="4"/>
      <c r="B44" s="4"/>
      <c r="C44" s="4"/>
    </row>
    <row r="45" spans="1:3" x14ac:dyDescent="0.25">
      <c r="A45" s="4"/>
      <c r="B45" s="4"/>
      <c r="C45" s="4"/>
    </row>
    <row r="46" spans="1:3" x14ac:dyDescent="0.25">
      <c r="A46" s="4"/>
      <c r="B46" s="4"/>
      <c r="C46" s="4"/>
    </row>
    <row r="47" spans="1:3" x14ac:dyDescent="0.25">
      <c r="A47" s="4"/>
      <c r="B47" s="4"/>
      <c r="C47" s="4"/>
    </row>
    <row r="48" spans="1:3" x14ac:dyDescent="0.25">
      <c r="A48" s="4"/>
      <c r="B48" s="4"/>
      <c r="C48" s="4"/>
    </row>
    <row r="49" spans="1:3" x14ac:dyDescent="0.25">
      <c r="A49" s="4"/>
      <c r="B49" s="4"/>
      <c r="C49" s="4"/>
    </row>
    <row r="50" spans="1:3" x14ac:dyDescent="0.25">
      <c r="A50" s="4"/>
      <c r="B50" s="4"/>
      <c r="C50" s="4"/>
    </row>
    <row r="51" spans="1:3" x14ac:dyDescent="0.25">
      <c r="A51" s="4"/>
      <c r="B51" s="4"/>
      <c r="C51" s="4"/>
    </row>
    <row r="52" spans="1:3" x14ac:dyDescent="0.25">
      <c r="A52" s="4"/>
      <c r="B52" s="4"/>
      <c r="C52" s="4"/>
    </row>
    <row r="53" spans="1:3" x14ac:dyDescent="0.25">
      <c r="A53" s="4"/>
      <c r="B53" s="4"/>
      <c r="C53" s="4"/>
    </row>
    <row r="54" spans="1:3" x14ac:dyDescent="0.25">
      <c r="A54" s="4"/>
      <c r="B54" s="4"/>
      <c r="C54" s="4"/>
    </row>
    <row r="55" spans="1:3" x14ac:dyDescent="0.25">
      <c r="A55" s="4"/>
      <c r="B55" s="4"/>
      <c r="C55" s="4"/>
    </row>
    <row r="56" spans="1:3" x14ac:dyDescent="0.25">
      <c r="A56" s="4"/>
      <c r="B56" s="4"/>
      <c r="C56" s="4"/>
    </row>
    <row r="57" spans="1:3" x14ac:dyDescent="0.25">
      <c r="A57" s="4"/>
      <c r="B57" s="4"/>
      <c r="C57" s="4"/>
    </row>
    <row r="58" spans="1:3" x14ac:dyDescent="0.25">
      <c r="A58" s="4"/>
      <c r="B58" s="4"/>
      <c r="C58" s="4"/>
    </row>
    <row r="59" spans="1:3" x14ac:dyDescent="0.25">
      <c r="A59" s="4"/>
      <c r="B59" s="4"/>
      <c r="C59" s="4"/>
    </row>
    <row r="60" spans="1:3" x14ac:dyDescent="0.25">
      <c r="A60" s="4"/>
      <c r="B60" s="4"/>
      <c r="C60" s="4"/>
    </row>
    <row r="61" spans="1:3" x14ac:dyDescent="0.25">
      <c r="A61" s="4"/>
      <c r="B61" s="4"/>
      <c r="C61" s="4"/>
    </row>
    <row r="62" spans="1:3" x14ac:dyDescent="0.25">
      <c r="A62" s="4"/>
      <c r="B62" s="4"/>
      <c r="C62" s="4"/>
    </row>
    <row r="63" spans="1:3" x14ac:dyDescent="0.25">
      <c r="A63" s="4"/>
      <c r="B63" s="4"/>
      <c r="C63" s="4"/>
    </row>
    <row r="64" spans="1:3" x14ac:dyDescent="0.25">
      <c r="A64" s="4"/>
      <c r="B64" s="4"/>
      <c r="C64" s="4"/>
    </row>
    <row r="65" spans="1:3" x14ac:dyDescent="0.25">
      <c r="A65" s="3"/>
      <c r="B65" s="3"/>
      <c r="C65" s="3"/>
    </row>
    <row r="66" spans="1:3" x14ac:dyDescent="0.25">
      <c r="A66" s="3"/>
      <c r="B66" s="3"/>
      <c r="C66" s="3"/>
    </row>
    <row r="67" spans="1:3" x14ac:dyDescent="0.25">
      <c r="A67" s="3"/>
      <c r="B67" s="3"/>
      <c r="C67" s="3"/>
    </row>
    <row r="68" spans="1:3" x14ac:dyDescent="0.25">
      <c r="A68" s="3"/>
      <c r="B68" s="3"/>
      <c r="C68" s="3"/>
    </row>
    <row r="69" spans="1:3" x14ac:dyDescent="0.25">
      <c r="A69" s="3"/>
      <c r="B69" s="3"/>
      <c r="C69" s="3"/>
    </row>
    <row r="70" spans="1:3" x14ac:dyDescent="0.25">
      <c r="A70" s="3"/>
      <c r="B70" s="3"/>
      <c r="C70" s="3"/>
    </row>
    <row r="71" spans="1:3" x14ac:dyDescent="0.25">
      <c r="A71" s="3"/>
      <c r="B71" s="3"/>
      <c r="C71" s="3"/>
    </row>
    <row r="72" spans="1:3" x14ac:dyDescent="0.25">
      <c r="A72" s="3"/>
      <c r="B72" s="3"/>
      <c r="C72" s="3"/>
    </row>
    <row r="73" spans="1:3" x14ac:dyDescent="0.25">
      <c r="A73" s="3"/>
      <c r="B73" s="3"/>
      <c r="C73" s="3"/>
    </row>
    <row r="74" spans="1:3" x14ac:dyDescent="0.25">
      <c r="A74" s="3"/>
      <c r="B74" s="3"/>
      <c r="C74" s="3"/>
    </row>
    <row r="75" spans="1:3" x14ac:dyDescent="0.25">
      <c r="A75" s="3"/>
      <c r="B75" s="3"/>
      <c r="C75" s="3"/>
    </row>
    <row r="76" spans="1:3" x14ac:dyDescent="0.25">
      <c r="A76" s="3"/>
      <c r="B76" s="3"/>
      <c r="C76" s="3"/>
    </row>
    <row r="77" spans="1:3" x14ac:dyDescent="0.25">
      <c r="A77" s="3"/>
      <c r="B77" s="3"/>
      <c r="C77" s="3"/>
    </row>
    <row r="78" spans="1:3" x14ac:dyDescent="0.25">
      <c r="A78" s="3"/>
      <c r="B78" s="3"/>
      <c r="C78" s="3"/>
    </row>
    <row r="79" spans="1:3" x14ac:dyDescent="0.25">
      <c r="A79" s="3"/>
      <c r="B79" s="3"/>
      <c r="C79" s="3"/>
    </row>
    <row r="80" spans="1:3" x14ac:dyDescent="0.25">
      <c r="A80" s="3"/>
      <c r="B80" s="3"/>
      <c r="C80" s="3"/>
    </row>
    <row r="81" spans="1:3" x14ac:dyDescent="0.25">
      <c r="A81" s="3"/>
      <c r="B81" s="3"/>
      <c r="C81" s="3"/>
    </row>
    <row r="82" spans="1:3" x14ac:dyDescent="0.25">
      <c r="A82" s="3"/>
      <c r="B82" s="3"/>
      <c r="C82" s="3"/>
    </row>
    <row r="83" spans="1:3" x14ac:dyDescent="0.25">
      <c r="A83" s="3"/>
      <c r="B83" s="3"/>
      <c r="C83" s="3"/>
    </row>
    <row r="84" spans="1:3" x14ac:dyDescent="0.25">
      <c r="A84" s="3"/>
      <c r="B84" s="3"/>
      <c r="C84" s="3"/>
    </row>
    <row r="85" spans="1:3" x14ac:dyDescent="0.25">
      <c r="A85" s="3"/>
      <c r="B85" s="3"/>
      <c r="C85" s="3"/>
    </row>
    <row r="86" spans="1:3" x14ac:dyDescent="0.25">
      <c r="A86" s="3"/>
      <c r="B86" s="3"/>
      <c r="C86" s="3"/>
    </row>
    <row r="87" spans="1:3" x14ac:dyDescent="0.25">
      <c r="A87" s="3"/>
      <c r="B87" s="3"/>
      <c r="C87" s="3"/>
    </row>
    <row r="88" spans="1:3" x14ac:dyDescent="0.25">
      <c r="A88" s="3"/>
      <c r="B88" s="3"/>
      <c r="C88" s="3"/>
    </row>
    <row r="89" spans="1:3" x14ac:dyDescent="0.25">
      <c r="A89" s="3"/>
      <c r="B89" s="3"/>
      <c r="C89" s="3"/>
    </row>
    <row r="90" spans="1:3" x14ac:dyDescent="0.25">
      <c r="A90" s="3"/>
      <c r="B90" s="3"/>
      <c r="C90" s="3"/>
    </row>
    <row r="91" spans="1:3" x14ac:dyDescent="0.25">
      <c r="A91" s="3"/>
      <c r="B91" s="3"/>
      <c r="C91" s="3"/>
    </row>
    <row r="92" spans="1:3" x14ac:dyDescent="0.25">
      <c r="A92" s="3"/>
      <c r="B92" s="3"/>
      <c r="C92" s="3"/>
    </row>
    <row r="93" spans="1:3" x14ac:dyDescent="0.25">
      <c r="A93" s="3"/>
      <c r="B93" s="3"/>
      <c r="C93" s="3"/>
    </row>
    <row r="94" spans="1:3" x14ac:dyDescent="0.25">
      <c r="A94" s="3"/>
      <c r="B94" s="3"/>
      <c r="C94" s="3"/>
    </row>
    <row r="95" spans="1:3" x14ac:dyDescent="0.25">
      <c r="A95" s="3"/>
      <c r="B95" s="3"/>
      <c r="C95" s="3"/>
    </row>
    <row r="96" spans="1:3" x14ac:dyDescent="0.25">
      <c r="A96" s="3"/>
      <c r="B96" s="3"/>
      <c r="C96" s="3"/>
    </row>
    <row r="97" spans="1:3" x14ac:dyDescent="0.25">
      <c r="A97" s="3"/>
      <c r="B97" s="3"/>
      <c r="C97" s="3"/>
    </row>
    <row r="98" spans="1:3" x14ac:dyDescent="0.25">
      <c r="A98" s="3"/>
      <c r="B98" s="3"/>
      <c r="C98" s="3"/>
    </row>
  </sheetData>
  <mergeCells count="1">
    <mergeCell ref="A17:A18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10F7A-C207-4398-9130-F41AA5B74211}">
  <sheetPr codeName="Sheet5"/>
  <dimension ref="A1:F20"/>
  <sheetViews>
    <sheetView workbookViewId="0">
      <selection activeCell="C12" sqref="C12"/>
    </sheetView>
  </sheetViews>
  <sheetFormatPr defaultRowHeight="14.4" x14ac:dyDescent="0.25"/>
  <cols>
    <col min="1" max="1" width="61.109375" bestFit="1" customWidth="1"/>
    <col min="2" max="2" width="19.21875" bestFit="1" customWidth="1"/>
    <col min="3" max="3" width="24.88671875" bestFit="1" customWidth="1"/>
    <col min="4" max="4" width="16.109375" bestFit="1" customWidth="1"/>
    <col min="5" max="5" width="24.5546875" customWidth="1"/>
    <col min="6" max="6" width="27.109375" bestFit="1" customWidth="1"/>
  </cols>
  <sheetData>
    <row r="1" spans="1:6" x14ac:dyDescent="0.25">
      <c r="A1" s="42" t="s">
        <v>93</v>
      </c>
    </row>
    <row r="2" spans="1:6" x14ac:dyDescent="0.25">
      <c r="A2" s="43" t="s">
        <v>96</v>
      </c>
      <c r="B2" s="43">
        <v>50</v>
      </c>
      <c r="D2" s="44"/>
      <c r="E2" s="44"/>
    </row>
    <row r="3" spans="1:6" x14ac:dyDescent="0.25">
      <c r="A3" s="43" t="s">
        <v>94</v>
      </c>
      <c r="B3" s="43">
        <v>0.93</v>
      </c>
      <c r="D3" s="44"/>
      <c r="E3" s="44"/>
    </row>
    <row r="4" spans="1:6" x14ac:dyDescent="0.25">
      <c r="A4" s="43" t="s">
        <v>117</v>
      </c>
      <c r="B4" s="51">
        <f>365/45*LN(1+0.0135*44/360)</f>
        <v>1.337230421369767E-2</v>
      </c>
    </row>
    <row r="5" spans="1:6" x14ac:dyDescent="0.25">
      <c r="A5" s="43" t="s">
        <v>101</v>
      </c>
      <c r="B5" s="43">
        <v>0.3</v>
      </c>
    </row>
    <row r="6" spans="1:6" x14ac:dyDescent="0.25">
      <c r="A6" s="43" t="s">
        <v>102</v>
      </c>
      <c r="B6" s="43">
        <v>3.5000000000000003E-2</v>
      </c>
    </row>
    <row r="7" spans="1:6" x14ac:dyDescent="0.25">
      <c r="A7" s="43" t="s">
        <v>103</v>
      </c>
      <c r="B7" s="43">
        <v>0.02</v>
      </c>
    </row>
    <row r="8" spans="1:6" x14ac:dyDescent="0.25">
      <c r="A8" s="43" t="s">
        <v>118</v>
      </c>
      <c r="B8" s="77">
        <v>3.0000000000000001E-3</v>
      </c>
    </row>
    <row r="10" spans="1:6" ht="15" x14ac:dyDescent="0.25">
      <c r="B10" s="41"/>
    </row>
    <row r="11" spans="1:6" x14ac:dyDescent="0.25">
      <c r="A11" s="44"/>
      <c r="B11" s="44"/>
    </row>
    <row r="12" spans="1:6" ht="15" x14ac:dyDescent="0.25">
      <c r="A12" s="44"/>
      <c r="B12" s="44"/>
      <c r="C12" s="41"/>
    </row>
    <row r="13" spans="1:6" x14ac:dyDescent="0.25">
      <c r="A13" s="53" t="s">
        <v>16</v>
      </c>
      <c r="B13" s="89">
        <f>Contract_Value1(S_0,K,rate,sigma,q,repo,margin)</f>
        <v>0.98398278755297441</v>
      </c>
      <c r="C13" s="44"/>
      <c r="E13" s="45" t="s">
        <v>97</v>
      </c>
      <c r="F13" s="46" t="s">
        <v>98</v>
      </c>
    </row>
    <row r="14" spans="1:6" x14ac:dyDescent="0.25">
      <c r="A14" s="54" t="s">
        <v>53</v>
      </c>
      <c r="B14" s="52">
        <f>(E14-F14)/(2*S_0*0.01)*0.01</f>
        <v>5.3302454769370571E-5</v>
      </c>
      <c r="C14" s="44"/>
      <c r="D14" s="44" t="s">
        <v>106</v>
      </c>
      <c r="E14" s="82">
        <f>Contract_Value1(S_0*1.01,K,rate,sigma,q,repo,margin)</f>
        <v>0.98648709739902385</v>
      </c>
      <c r="F14" s="83">
        <f>Contract_Value1(S_0*0.99,K,rate,sigma,q,repo,margin)</f>
        <v>0.98115685192208679</v>
      </c>
    </row>
    <row r="15" spans="1:6" x14ac:dyDescent="0.25">
      <c r="A15" s="54" t="s">
        <v>52</v>
      </c>
      <c r="B15" s="52">
        <f>(E16-F16)/0.02*0.01</f>
        <v>-1.1896222585883742E-3</v>
      </c>
      <c r="C15" s="90"/>
      <c r="D15" s="44"/>
      <c r="E15" s="82" t="s">
        <v>99</v>
      </c>
      <c r="F15" s="83" t="s">
        <v>100</v>
      </c>
    </row>
    <row r="16" spans="1:6" x14ac:dyDescent="0.25">
      <c r="A16" s="54" t="s">
        <v>54</v>
      </c>
      <c r="B16" s="52">
        <f>(E18-F18)/(2*0.05%)*0.01%</f>
        <v>-1.0365539585577288E-5</v>
      </c>
      <c r="D16" s="44" t="s">
        <v>106</v>
      </c>
      <c r="E16" s="82">
        <f>Contract_Value1(S_0,K,rate,sigma+0.01,q,repo,margin)</f>
        <v>0.98278547937395566</v>
      </c>
      <c r="F16" s="83">
        <f>Contract_Value1(S_0,K,rate,sigma-0.01,q,repo,margin)</f>
        <v>0.98516472389113241</v>
      </c>
    </row>
    <row r="17" spans="1:6" x14ac:dyDescent="0.25">
      <c r="D17" s="44"/>
      <c r="E17" s="82" t="s">
        <v>104</v>
      </c>
      <c r="F17" s="83" t="s">
        <v>105</v>
      </c>
    </row>
    <row r="18" spans="1:6" x14ac:dyDescent="0.25">
      <c r="A18" s="79" t="s">
        <v>119</v>
      </c>
      <c r="D18" s="44" t="s">
        <v>106</v>
      </c>
      <c r="E18" s="84">
        <f>Contract_Value1(S_0,K,rate+0.05%,sigma,q,repo,margin)</f>
        <v>0.98393096720126305</v>
      </c>
      <c r="F18" s="85">
        <f>Contract_Value1(S_0,K,rate-0.05%,sigma,q,repo,margin)</f>
        <v>0.98403462259711882</v>
      </c>
    </row>
    <row r="20" spans="1:6" x14ac:dyDescent="0.25">
      <c r="F20" s="78"/>
    </row>
  </sheetData>
  <phoneticPr fontId="1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50"/>
  <sheetViews>
    <sheetView workbookViewId="0">
      <selection activeCell="A4" sqref="A4"/>
    </sheetView>
  </sheetViews>
  <sheetFormatPr defaultColWidth="8.77734375" defaultRowHeight="14.4" x14ac:dyDescent="0.25"/>
  <cols>
    <col min="1" max="1" width="28.21875" style="1" customWidth="1"/>
    <col min="2" max="2" width="84.109375" style="1" bestFit="1" customWidth="1"/>
    <col min="3" max="3" width="3.21875" style="1" customWidth="1"/>
    <col min="4" max="4" width="33.77734375" style="1" customWidth="1"/>
    <col min="5" max="5" width="19.44140625" style="2" customWidth="1"/>
    <col min="6" max="6" width="17.21875" style="2" customWidth="1"/>
    <col min="7" max="7" width="14.77734375" style="1" customWidth="1"/>
    <col min="8" max="16384" width="8.77734375" style="1"/>
  </cols>
  <sheetData>
    <row r="1" spans="1:11" x14ac:dyDescent="0.25">
      <c r="A1" s="14"/>
      <c r="B1" s="14"/>
      <c r="C1" s="14"/>
      <c r="D1" s="14"/>
      <c r="E1" s="15"/>
      <c r="F1" s="15"/>
      <c r="G1" s="14"/>
      <c r="H1" s="14"/>
      <c r="I1" s="14"/>
      <c r="J1" s="14"/>
      <c r="K1" s="14"/>
    </row>
    <row r="2" spans="1:11" ht="20.399999999999999" x14ac:dyDescent="0.25">
      <c r="A2" s="36" t="s">
        <v>18</v>
      </c>
      <c r="B2" s="37" t="s">
        <v>42</v>
      </c>
      <c r="C2" s="14"/>
      <c r="D2" s="14"/>
      <c r="E2" s="15"/>
      <c r="F2" s="15"/>
      <c r="G2" s="14"/>
      <c r="H2" s="14"/>
      <c r="I2" s="14"/>
      <c r="J2" s="14"/>
      <c r="K2" s="14"/>
    </row>
    <row r="3" spans="1:11" ht="17.399999999999999" x14ac:dyDescent="0.25">
      <c r="A3" s="16"/>
      <c r="B3" s="14"/>
      <c r="C3" s="14"/>
      <c r="D3" s="14"/>
      <c r="E3" s="15"/>
      <c r="F3" s="15"/>
      <c r="G3" s="14"/>
      <c r="H3" s="14"/>
      <c r="I3" s="14"/>
      <c r="J3" s="14"/>
      <c r="K3" s="14"/>
    </row>
    <row r="4" spans="1:11" x14ac:dyDescent="0.25">
      <c r="A4" s="14" t="s">
        <v>130</v>
      </c>
      <c r="B4" s="14"/>
      <c r="C4" s="14"/>
      <c r="D4" s="17" t="s">
        <v>10</v>
      </c>
      <c r="E4" s="15"/>
      <c r="F4" s="15"/>
      <c r="G4" s="14"/>
      <c r="H4" s="14"/>
      <c r="I4" s="14"/>
      <c r="J4" s="14"/>
      <c r="K4" s="14"/>
    </row>
    <row r="5" spans="1:11" x14ac:dyDescent="0.25">
      <c r="A5" s="14"/>
      <c r="B5" s="14"/>
      <c r="C5" s="14"/>
      <c r="D5" s="17"/>
      <c r="E5" s="15"/>
      <c r="F5" s="15"/>
      <c r="G5" s="14"/>
      <c r="H5" s="14"/>
      <c r="I5" s="14"/>
      <c r="J5" s="14"/>
      <c r="K5" s="14"/>
    </row>
    <row r="6" spans="1:11" x14ac:dyDescent="0.25">
      <c r="A6" s="6" t="s">
        <v>1</v>
      </c>
      <c r="B6" s="6" t="s">
        <v>30</v>
      </c>
      <c r="C6" s="14"/>
      <c r="D6" s="6"/>
      <c r="E6" s="18" t="s">
        <v>3</v>
      </c>
      <c r="F6" s="18" t="s">
        <v>31</v>
      </c>
      <c r="G6" s="14"/>
      <c r="H6" s="14"/>
      <c r="I6" s="14"/>
      <c r="J6" s="14"/>
      <c r="K6" s="14"/>
    </row>
    <row r="7" spans="1:11" x14ac:dyDescent="0.25">
      <c r="A7" s="6" t="s">
        <v>11</v>
      </c>
      <c r="B7" s="6" t="s">
        <v>63</v>
      </c>
      <c r="C7" s="14"/>
      <c r="D7" s="6" t="s">
        <v>32</v>
      </c>
      <c r="E7" s="19" t="s">
        <v>34</v>
      </c>
      <c r="F7" s="20">
        <v>0</v>
      </c>
      <c r="G7" s="14"/>
      <c r="H7" s="14"/>
      <c r="I7" s="14"/>
      <c r="J7" s="14"/>
      <c r="K7" s="14"/>
    </row>
    <row r="8" spans="1:11" x14ac:dyDescent="0.25">
      <c r="A8" s="6" t="s">
        <v>59</v>
      </c>
      <c r="B8" s="7" t="s">
        <v>62</v>
      </c>
      <c r="C8" s="14"/>
      <c r="D8" s="14"/>
      <c r="E8" s="15"/>
      <c r="F8" s="15"/>
      <c r="G8" s="14"/>
      <c r="H8" s="14"/>
      <c r="I8" s="14"/>
      <c r="J8" s="14"/>
      <c r="K8" s="14"/>
    </row>
    <row r="9" spans="1:11" x14ac:dyDescent="0.25">
      <c r="A9" s="6" t="s">
        <v>89</v>
      </c>
      <c r="B9" s="6" t="s">
        <v>71</v>
      </c>
      <c r="C9" s="14"/>
      <c r="D9" s="6"/>
      <c r="E9" s="18" t="s">
        <v>5</v>
      </c>
      <c r="F9" s="18" t="s">
        <v>33</v>
      </c>
      <c r="G9" s="14"/>
      <c r="H9" s="14"/>
      <c r="I9" s="14"/>
      <c r="J9" s="14"/>
      <c r="K9" s="14"/>
    </row>
    <row r="10" spans="1:11" x14ac:dyDescent="0.25">
      <c r="A10" s="6" t="s">
        <v>60</v>
      </c>
      <c r="B10" s="6" t="s">
        <v>72</v>
      </c>
      <c r="C10" s="14"/>
      <c r="D10" s="6" t="s">
        <v>23</v>
      </c>
      <c r="E10" s="20">
        <v>0.38</v>
      </c>
      <c r="F10" s="20">
        <v>0.4</v>
      </c>
      <c r="G10" s="14"/>
      <c r="H10" s="14"/>
      <c r="I10" s="14"/>
      <c r="J10" s="14"/>
      <c r="K10" s="14"/>
    </row>
    <row r="11" spans="1:11" ht="28.8" x14ac:dyDescent="0.25">
      <c r="A11" s="6" t="s">
        <v>15</v>
      </c>
      <c r="B11" s="6" t="s">
        <v>6</v>
      </c>
      <c r="C11" s="14"/>
      <c r="D11" s="9" t="s">
        <v>44</v>
      </c>
      <c r="E11" s="19">
        <v>3.5000000000000003E-2</v>
      </c>
      <c r="F11" s="20">
        <v>0.02</v>
      </c>
      <c r="G11" s="14"/>
      <c r="H11" s="14"/>
      <c r="I11" s="14"/>
      <c r="J11" s="14"/>
      <c r="K11" s="14"/>
    </row>
    <row r="12" spans="1:11" x14ac:dyDescent="0.25">
      <c r="A12" s="6" t="s">
        <v>2</v>
      </c>
      <c r="B12" s="6" t="s">
        <v>3</v>
      </c>
      <c r="C12" s="14"/>
      <c r="D12" s="6" t="s">
        <v>35</v>
      </c>
      <c r="E12" s="20">
        <v>0.02</v>
      </c>
      <c r="F12" s="20">
        <v>0.04</v>
      </c>
      <c r="G12" s="14"/>
      <c r="H12" s="14"/>
      <c r="I12" s="14"/>
      <c r="J12" s="14"/>
      <c r="K12" s="14"/>
    </row>
    <row r="13" spans="1:11" x14ac:dyDescent="0.25">
      <c r="A13" s="6" t="s">
        <v>40</v>
      </c>
      <c r="B13" s="6" t="s">
        <v>41</v>
      </c>
      <c r="C13" s="14"/>
      <c r="D13" s="14"/>
      <c r="E13" s="15"/>
      <c r="F13" s="15"/>
      <c r="G13" s="14"/>
      <c r="H13" s="14"/>
      <c r="I13" s="14"/>
      <c r="J13" s="14"/>
      <c r="K13" s="14"/>
    </row>
    <row r="14" spans="1:11" x14ac:dyDescent="0.25">
      <c r="A14" s="6" t="s">
        <v>76</v>
      </c>
      <c r="B14" s="6" t="s">
        <v>77</v>
      </c>
      <c r="C14" s="14"/>
      <c r="D14" s="6" t="s">
        <v>39</v>
      </c>
      <c r="E14" s="19">
        <v>9.5000000000000001E-2</v>
      </c>
      <c r="F14" s="15"/>
      <c r="G14" s="14"/>
      <c r="H14" s="14"/>
      <c r="I14" s="14"/>
      <c r="J14" s="14"/>
      <c r="K14" s="14"/>
    </row>
    <row r="15" spans="1:11" x14ac:dyDescent="0.25">
      <c r="A15" s="6" t="s">
        <v>9</v>
      </c>
      <c r="B15" s="8" t="s">
        <v>74</v>
      </c>
      <c r="C15" s="14"/>
      <c r="D15" s="14"/>
      <c r="E15" s="15"/>
      <c r="F15" s="15"/>
      <c r="G15" s="14"/>
      <c r="H15" s="14"/>
      <c r="I15" s="14"/>
      <c r="J15" s="14"/>
      <c r="K15" s="14"/>
    </row>
    <row r="16" spans="1:11" x14ac:dyDescent="0.25">
      <c r="A16" s="6" t="s">
        <v>21</v>
      </c>
      <c r="B16" s="6" t="s">
        <v>24</v>
      </c>
      <c r="C16" s="14"/>
      <c r="D16" s="6" t="s">
        <v>36</v>
      </c>
      <c r="E16" s="21" t="s">
        <v>5</v>
      </c>
      <c r="F16" s="21" t="s">
        <v>33</v>
      </c>
      <c r="G16" s="21" t="s">
        <v>38</v>
      </c>
      <c r="H16" s="14"/>
      <c r="I16" s="14"/>
      <c r="J16" s="14"/>
      <c r="K16" s="14"/>
    </row>
    <row r="17" spans="1:11" x14ac:dyDescent="0.25">
      <c r="A17" s="6" t="s">
        <v>17</v>
      </c>
      <c r="B17" s="6" t="s">
        <v>20</v>
      </c>
      <c r="C17" s="14"/>
      <c r="D17" s="6" t="s">
        <v>5</v>
      </c>
      <c r="E17" s="21">
        <v>1</v>
      </c>
      <c r="F17" s="21"/>
      <c r="G17" s="21"/>
      <c r="H17" s="14"/>
      <c r="I17" s="14"/>
      <c r="J17" s="14"/>
      <c r="K17" s="14"/>
    </row>
    <row r="18" spans="1:11" x14ac:dyDescent="0.25">
      <c r="A18" s="6" t="s">
        <v>19</v>
      </c>
      <c r="B18" s="6" t="s">
        <v>22</v>
      </c>
      <c r="C18" s="14"/>
      <c r="D18" s="6" t="s">
        <v>33</v>
      </c>
      <c r="E18" s="22">
        <v>0.5</v>
      </c>
      <c r="F18" s="21">
        <v>1</v>
      </c>
      <c r="G18" s="22"/>
      <c r="H18" s="14"/>
      <c r="I18" s="14"/>
      <c r="J18" s="14"/>
      <c r="K18" s="14"/>
    </row>
    <row r="19" spans="1:11" x14ac:dyDescent="0.25">
      <c r="A19" s="6" t="s">
        <v>73</v>
      </c>
      <c r="B19" s="8" t="s">
        <v>78</v>
      </c>
      <c r="C19" s="14"/>
      <c r="D19" s="6" t="s">
        <v>38</v>
      </c>
      <c r="E19" s="22">
        <v>0.25</v>
      </c>
      <c r="F19" s="22">
        <v>0.2</v>
      </c>
      <c r="G19" s="21">
        <v>1</v>
      </c>
      <c r="H19" s="14"/>
      <c r="I19" s="14"/>
      <c r="J19" s="14"/>
      <c r="K19" s="14"/>
    </row>
    <row r="20" spans="1:11" x14ac:dyDescent="0.25">
      <c r="A20" s="9" t="s">
        <v>37</v>
      </c>
      <c r="B20" s="10" t="s">
        <v>75</v>
      </c>
      <c r="C20" s="14"/>
      <c r="D20" s="14"/>
      <c r="E20" s="15"/>
      <c r="F20" s="15"/>
      <c r="G20" s="14"/>
      <c r="H20" s="14"/>
      <c r="I20" s="14"/>
      <c r="J20" s="14"/>
      <c r="K20" s="14"/>
    </row>
    <row r="21" spans="1:11" x14ac:dyDescent="0.25">
      <c r="A21" s="97" t="s">
        <v>8</v>
      </c>
      <c r="B21" s="9" t="s">
        <v>90</v>
      </c>
      <c r="C21" s="14"/>
      <c r="D21" s="14"/>
      <c r="E21" s="15"/>
      <c r="F21" s="15"/>
      <c r="G21" s="14"/>
      <c r="H21" s="14"/>
      <c r="I21" s="14"/>
      <c r="J21" s="14"/>
      <c r="K21" s="14"/>
    </row>
    <row r="22" spans="1:11" ht="57.6" x14ac:dyDescent="0.25">
      <c r="A22" s="97"/>
      <c r="B22" s="9" t="s">
        <v>92</v>
      </c>
      <c r="C22" s="14"/>
      <c r="D22" s="14"/>
      <c r="E22" s="15"/>
      <c r="F22" s="15"/>
      <c r="G22" s="14"/>
      <c r="H22" s="14"/>
      <c r="I22" s="14"/>
      <c r="J22" s="14"/>
      <c r="K22" s="14"/>
    </row>
    <row r="23" spans="1:11" x14ac:dyDescent="0.25">
      <c r="A23" s="11" t="s">
        <v>79</v>
      </c>
      <c r="B23" s="12">
        <v>6.0000000000000001E-3</v>
      </c>
      <c r="C23" s="24"/>
      <c r="D23" s="24"/>
      <c r="E23" s="15"/>
      <c r="F23" s="15"/>
      <c r="G23" s="14"/>
      <c r="H23" s="14"/>
      <c r="I23" s="14"/>
      <c r="J23" s="14"/>
      <c r="K23" s="14"/>
    </row>
    <row r="24" spans="1:11" x14ac:dyDescent="0.25">
      <c r="A24" s="14"/>
      <c r="B24" s="14"/>
      <c r="C24" s="24"/>
      <c r="D24" s="24"/>
      <c r="E24" s="15"/>
      <c r="F24" s="15"/>
      <c r="G24" s="14"/>
      <c r="H24" s="14"/>
      <c r="I24" s="14"/>
      <c r="J24" s="14"/>
      <c r="K24" s="14"/>
    </row>
    <row r="25" spans="1:11" x14ac:dyDescent="0.25">
      <c r="A25" s="14"/>
      <c r="B25" s="14"/>
      <c r="C25" s="24"/>
      <c r="D25" s="24"/>
      <c r="E25" s="15"/>
      <c r="F25" s="15"/>
      <c r="G25" s="14"/>
      <c r="H25" s="14"/>
      <c r="I25" s="14"/>
      <c r="J25" s="14"/>
      <c r="K25" s="14"/>
    </row>
    <row r="26" spans="1:11" x14ac:dyDescent="0.25">
      <c r="A26" s="23" t="s">
        <v>56</v>
      </c>
      <c r="B26" s="24"/>
      <c r="C26" s="24"/>
      <c r="D26" s="24"/>
      <c r="E26" s="15"/>
      <c r="F26" s="15"/>
      <c r="G26" s="14"/>
      <c r="H26" s="14"/>
      <c r="I26" s="14"/>
      <c r="J26" s="14"/>
      <c r="K26" s="14"/>
    </row>
    <row r="27" spans="1:11" x14ac:dyDescent="0.25">
      <c r="A27" s="24" t="s">
        <v>65</v>
      </c>
      <c r="B27" s="24"/>
      <c r="C27" s="24"/>
      <c r="D27" s="24"/>
      <c r="E27" s="15"/>
      <c r="F27" s="15"/>
      <c r="G27" s="14"/>
      <c r="H27" s="14"/>
      <c r="I27" s="14"/>
      <c r="J27" s="14"/>
      <c r="K27" s="14"/>
    </row>
    <row r="28" spans="1:11" x14ac:dyDescent="0.25">
      <c r="A28" s="24" t="s">
        <v>81</v>
      </c>
      <c r="B28" s="24"/>
      <c r="C28" s="24"/>
      <c r="D28" s="24"/>
      <c r="E28" s="15"/>
      <c r="F28" s="15"/>
      <c r="G28" s="14"/>
      <c r="H28" s="14"/>
      <c r="I28" s="14"/>
      <c r="J28" s="14"/>
      <c r="K28" s="14"/>
    </row>
    <row r="29" spans="1:11" x14ac:dyDescent="0.25">
      <c r="A29" s="24" t="s">
        <v>87</v>
      </c>
      <c r="B29" s="24"/>
      <c r="C29" s="24"/>
      <c r="D29" s="24"/>
      <c r="E29" s="15"/>
      <c r="F29" s="15"/>
      <c r="G29" s="14"/>
      <c r="H29" s="14"/>
      <c r="I29" s="14"/>
      <c r="J29" s="14"/>
      <c r="K29" s="14"/>
    </row>
    <row r="30" spans="1:11" x14ac:dyDescent="0.25">
      <c r="A30" s="24"/>
      <c r="B30" s="24"/>
      <c r="C30" s="14"/>
      <c r="D30" s="14"/>
      <c r="E30" s="15"/>
      <c r="F30" s="15"/>
      <c r="G30" s="14"/>
      <c r="H30" s="14"/>
      <c r="I30" s="14"/>
      <c r="J30" s="14"/>
      <c r="K30" s="14"/>
    </row>
    <row r="31" spans="1:11" x14ac:dyDescent="0.25">
      <c r="A31" s="33" t="s">
        <v>66</v>
      </c>
      <c r="B31" s="24"/>
      <c r="C31" s="14"/>
      <c r="D31" s="14"/>
      <c r="E31" s="15"/>
      <c r="F31" s="15"/>
      <c r="G31" s="14"/>
      <c r="H31" s="14"/>
      <c r="I31" s="14"/>
      <c r="J31" s="14"/>
      <c r="K31" s="14"/>
    </row>
    <row r="32" spans="1:11" x14ac:dyDescent="0.25">
      <c r="A32" s="25" t="s">
        <v>67</v>
      </c>
      <c r="B32" s="24"/>
      <c r="C32" s="14"/>
      <c r="D32" s="14"/>
      <c r="E32" s="15"/>
      <c r="F32" s="15"/>
      <c r="G32" s="14"/>
      <c r="H32" s="14"/>
      <c r="I32" s="14"/>
      <c r="J32" s="14"/>
      <c r="K32" s="14"/>
    </row>
    <row r="33" spans="1:11" x14ac:dyDescent="0.25">
      <c r="A33" s="25" t="s">
        <v>68</v>
      </c>
      <c r="B33" s="14"/>
      <c r="C33" s="14"/>
      <c r="D33" s="14"/>
      <c r="E33" s="15"/>
      <c r="F33" s="15"/>
      <c r="G33" s="14"/>
      <c r="H33" s="14"/>
      <c r="I33" s="14"/>
      <c r="J33" s="14"/>
      <c r="K33" s="14"/>
    </row>
    <row r="34" spans="1:11" x14ac:dyDescent="0.25">
      <c r="A34" s="25" t="s">
        <v>69</v>
      </c>
      <c r="B34" s="14"/>
      <c r="C34" s="14"/>
      <c r="D34" s="14"/>
      <c r="E34" s="15"/>
      <c r="F34" s="15"/>
      <c r="G34" s="14"/>
      <c r="H34" s="14"/>
      <c r="I34" s="14"/>
      <c r="J34" s="14"/>
      <c r="K34" s="14"/>
    </row>
    <row r="35" spans="1:11" x14ac:dyDescent="0.25">
      <c r="A35" s="25" t="s">
        <v>88</v>
      </c>
      <c r="B35" s="14"/>
      <c r="C35" s="14"/>
      <c r="E35" s="14"/>
      <c r="F35" s="15"/>
      <c r="G35" s="14"/>
      <c r="H35" s="14"/>
      <c r="I35" s="14"/>
      <c r="J35" s="14"/>
      <c r="K35" s="14"/>
    </row>
    <row r="36" spans="1:11" x14ac:dyDescent="0.25">
      <c r="A36" s="14"/>
      <c r="B36" s="14"/>
      <c r="C36" s="14"/>
      <c r="D36" s="14"/>
      <c r="E36" s="15"/>
      <c r="F36" s="15"/>
      <c r="G36" s="14"/>
      <c r="H36" s="14"/>
      <c r="I36" s="14"/>
      <c r="J36" s="14"/>
      <c r="K36" s="14"/>
    </row>
    <row r="37" spans="1:11" x14ac:dyDescent="0.25">
      <c r="A37" s="14"/>
      <c r="B37" s="14"/>
      <c r="C37" s="14"/>
      <c r="D37" s="14"/>
      <c r="E37" s="15"/>
      <c r="F37" s="15"/>
      <c r="G37" s="14"/>
      <c r="H37" s="14"/>
      <c r="I37" s="14"/>
      <c r="J37" s="14"/>
      <c r="K37" s="14"/>
    </row>
    <row r="38" spans="1:11" x14ac:dyDescent="0.25">
      <c r="A38" s="14"/>
      <c r="B38" s="14"/>
      <c r="C38" s="14"/>
      <c r="D38" s="14"/>
      <c r="E38" s="15"/>
      <c r="F38" s="15"/>
      <c r="G38" s="14"/>
      <c r="H38" s="14"/>
      <c r="I38" s="14"/>
      <c r="J38" s="14"/>
      <c r="K38" s="14"/>
    </row>
    <row r="39" spans="1:11" x14ac:dyDescent="0.25">
      <c r="A39" s="14"/>
      <c r="B39" s="14"/>
      <c r="C39" s="14"/>
      <c r="D39" s="14"/>
      <c r="E39" s="15"/>
      <c r="F39" s="15"/>
      <c r="G39" s="14"/>
      <c r="H39" s="14"/>
      <c r="I39" s="14"/>
      <c r="J39" s="14"/>
      <c r="K39" s="14"/>
    </row>
    <row r="40" spans="1:11" x14ac:dyDescent="0.25">
      <c r="A40" s="14"/>
      <c r="B40" s="14"/>
      <c r="C40" s="14"/>
      <c r="D40" s="14"/>
      <c r="E40" s="15"/>
      <c r="F40" s="15"/>
      <c r="G40" s="14"/>
      <c r="H40" s="14"/>
      <c r="I40" s="14"/>
      <c r="J40" s="14"/>
      <c r="K40" s="14"/>
    </row>
    <row r="41" spans="1:11" x14ac:dyDescent="0.25">
      <c r="A41" s="14"/>
      <c r="B41" s="14"/>
      <c r="C41" s="14"/>
      <c r="D41" s="14"/>
      <c r="E41" s="15"/>
      <c r="F41" s="15"/>
      <c r="G41" s="14"/>
      <c r="H41" s="14"/>
      <c r="I41" s="14"/>
      <c r="J41" s="14"/>
      <c r="K41" s="14"/>
    </row>
    <row r="42" spans="1:11" x14ac:dyDescent="0.25">
      <c r="A42" s="14"/>
      <c r="B42" s="14"/>
      <c r="C42" s="14"/>
      <c r="D42" s="14"/>
      <c r="E42" s="15"/>
      <c r="F42" s="15"/>
      <c r="G42" s="14"/>
      <c r="H42" s="14"/>
      <c r="I42" s="14"/>
      <c r="J42" s="14"/>
      <c r="K42" s="14"/>
    </row>
    <row r="43" spans="1:11" x14ac:dyDescent="0.25">
      <c r="A43" s="14"/>
      <c r="B43" s="14"/>
      <c r="C43" s="14"/>
      <c r="D43" s="14"/>
      <c r="E43" s="15"/>
      <c r="F43" s="15"/>
      <c r="G43" s="14"/>
      <c r="H43" s="14"/>
      <c r="I43" s="14"/>
      <c r="J43" s="14"/>
      <c r="K43" s="14"/>
    </row>
    <row r="44" spans="1:11" x14ac:dyDescent="0.25">
      <c r="A44" s="14"/>
      <c r="B44" s="14"/>
      <c r="C44" s="14"/>
      <c r="D44" s="14"/>
      <c r="E44" s="15"/>
      <c r="F44" s="15"/>
      <c r="G44" s="14"/>
      <c r="H44" s="14"/>
      <c r="I44" s="14"/>
      <c r="J44" s="14"/>
      <c r="K44" s="14"/>
    </row>
    <row r="45" spans="1:11" x14ac:dyDescent="0.25">
      <c r="A45" s="14"/>
      <c r="B45" s="14"/>
      <c r="C45" s="14"/>
      <c r="D45" s="14"/>
      <c r="E45" s="15"/>
      <c r="F45" s="15"/>
      <c r="G45" s="14"/>
      <c r="H45" s="14"/>
      <c r="I45" s="14"/>
      <c r="J45" s="14"/>
      <c r="K45" s="14"/>
    </row>
    <row r="46" spans="1:11" x14ac:dyDescent="0.25">
      <c r="A46" s="14"/>
      <c r="B46" s="14"/>
      <c r="C46" s="14"/>
      <c r="D46" s="14"/>
      <c r="E46" s="15"/>
      <c r="F46" s="15"/>
      <c r="G46" s="14"/>
      <c r="H46" s="14"/>
      <c r="I46" s="14"/>
      <c r="J46" s="14"/>
      <c r="K46" s="14"/>
    </row>
    <row r="47" spans="1:11" x14ac:dyDescent="0.25">
      <c r="A47" s="14"/>
      <c r="B47" s="14"/>
      <c r="C47" s="14"/>
      <c r="D47" s="14"/>
      <c r="E47" s="15"/>
      <c r="F47" s="15"/>
      <c r="G47" s="14"/>
      <c r="H47" s="14"/>
      <c r="I47" s="14"/>
      <c r="J47" s="14"/>
      <c r="K47" s="14"/>
    </row>
    <row r="48" spans="1:11" x14ac:dyDescent="0.25">
      <c r="A48" s="14"/>
      <c r="B48" s="14"/>
    </row>
    <row r="49" spans="1:2" x14ac:dyDescent="0.25">
      <c r="A49" s="14"/>
      <c r="B49" s="14"/>
    </row>
    <row r="50" spans="1:2" x14ac:dyDescent="0.25">
      <c r="A50" s="14"/>
      <c r="B50" s="14"/>
    </row>
  </sheetData>
  <mergeCells count="1">
    <mergeCell ref="A21:A22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40"/>
  <sheetViews>
    <sheetView workbookViewId="0">
      <selection activeCell="G19" sqref="G18:G19"/>
    </sheetView>
  </sheetViews>
  <sheetFormatPr defaultRowHeight="14.4" x14ac:dyDescent="0.25"/>
  <cols>
    <col min="1" max="1" width="20.5546875" customWidth="1"/>
    <col min="2" max="2" width="16.109375" bestFit="1" customWidth="1"/>
    <col min="3" max="3" width="11.77734375" customWidth="1"/>
    <col min="4" max="4" width="11.6640625" bestFit="1" customWidth="1"/>
    <col min="5" max="8" width="10.5546875" bestFit="1" customWidth="1"/>
  </cols>
  <sheetData>
    <row r="1" spans="1:8" x14ac:dyDescent="0.25">
      <c r="A1" s="55"/>
    </row>
    <row r="2" spans="1:8" x14ac:dyDescent="0.25">
      <c r="A2" s="56" t="s">
        <v>107</v>
      </c>
      <c r="B2" s="57">
        <v>43011</v>
      </c>
      <c r="C2" s="57">
        <v>43056</v>
      </c>
      <c r="D2" s="57">
        <v>43088</v>
      </c>
      <c r="E2" s="57">
        <v>43117</v>
      </c>
      <c r="F2" s="57">
        <v>43148</v>
      </c>
      <c r="G2" s="57">
        <v>43176</v>
      </c>
      <c r="H2" s="58">
        <v>43207</v>
      </c>
    </row>
    <row r="3" spans="1:8" x14ac:dyDescent="0.25">
      <c r="A3" s="59" t="s">
        <v>120</v>
      </c>
      <c r="B3" s="60"/>
      <c r="C3" s="60">
        <f t="shared" ref="C3:H3" si="0">C2-B2</f>
        <v>45</v>
      </c>
      <c r="D3" s="60">
        <f t="shared" si="0"/>
        <v>32</v>
      </c>
      <c r="E3" s="60">
        <f t="shared" si="0"/>
        <v>29</v>
      </c>
      <c r="F3" s="60">
        <f t="shared" si="0"/>
        <v>31</v>
      </c>
      <c r="G3" s="60">
        <f t="shared" si="0"/>
        <v>28</v>
      </c>
      <c r="H3" s="61">
        <f t="shared" si="0"/>
        <v>31</v>
      </c>
    </row>
    <row r="4" spans="1:8" x14ac:dyDescent="0.25">
      <c r="A4" s="59" t="s">
        <v>121</v>
      </c>
      <c r="B4" s="60"/>
      <c r="C4" s="60">
        <f t="shared" ref="C4:H4" si="1">C3/365</f>
        <v>0.12328767123287671</v>
      </c>
      <c r="D4" s="60">
        <f t="shared" si="1"/>
        <v>8.7671232876712329E-2</v>
      </c>
      <c r="E4" s="60">
        <f t="shared" si="1"/>
        <v>7.9452054794520555E-2</v>
      </c>
      <c r="F4" s="60">
        <f t="shared" si="1"/>
        <v>8.4931506849315067E-2</v>
      </c>
      <c r="G4" s="60">
        <f t="shared" si="1"/>
        <v>7.6712328767123292E-2</v>
      </c>
      <c r="H4" s="61">
        <f t="shared" si="1"/>
        <v>8.4931506849315067E-2</v>
      </c>
    </row>
    <row r="5" spans="1:8" x14ac:dyDescent="0.25">
      <c r="A5" s="59" t="s">
        <v>122</v>
      </c>
      <c r="B5" s="60"/>
      <c r="C5" s="60">
        <f t="shared" ref="C5:H5" si="2">C2-$B$2</f>
        <v>45</v>
      </c>
      <c r="D5" s="60">
        <f t="shared" si="2"/>
        <v>77</v>
      </c>
      <c r="E5" s="60">
        <f t="shared" si="2"/>
        <v>106</v>
      </c>
      <c r="F5" s="60">
        <f t="shared" si="2"/>
        <v>137</v>
      </c>
      <c r="G5" s="60">
        <f t="shared" si="2"/>
        <v>165</v>
      </c>
      <c r="H5" s="61">
        <f t="shared" si="2"/>
        <v>196</v>
      </c>
    </row>
    <row r="6" spans="1:8" x14ac:dyDescent="0.25">
      <c r="A6" s="59" t="s">
        <v>123</v>
      </c>
      <c r="B6" s="60"/>
      <c r="C6" s="60">
        <f t="shared" ref="C6:H6" si="3">C5/365</f>
        <v>0.12328767123287671</v>
      </c>
      <c r="D6" s="60">
        <f t="shared" si="3"/>
        <v>0.21095890410958903</v>
      </c>
      <c r="E6" s="60">
        <f t="shared" si="3"/>
        <v>0.29041095890410956</v>
      </c>
      <c r="F6" s="60">
        <f t="shared" si="3"/>
        <v>0.37534246575342467</v>
      </c>
      <c r="G6" s="60">
        <f t="shared" si="3"/>
        <v>0.45205479452054792</v>
      </c>
      <c r="H6" s="61">
        <f t="shared" si="3"/>
        <v>0.53698630136986303</v>
      </c>
    </row>
    <row r="7" spans="1:8" x14ac:dyDescent="0.25">
      <c r="A7" s="59" t="s">
        <v>108</v>
      </c>
      <c r="B7" s="60"/>
      <c r="C7" s="60">
        <v>1</v>
      </c>
      <c r="D7" s="60">
        <v>1</v>
      </c>
      <c r="E7" s="60">
        <v>1</v>
      </c>
      <c r="F7" s="60">
        <v>1</v>
      </c>
      <c r="G7" s="60">
        <v>1</v>
      </c>
      <c r="H7" s="61">
        <v>1</v>
      </c>
    </row>
    <row r="8" spans="1:8" x14ac:dyDescent="0.25">
      <c r="A8" s="65" t="s">
        <v>124</v>
      </c>
      <c r="B8" s="60"/>
      <c r="C8" s="60">
        <v>44</v>
      </c>
      <c r="D8" s="60">
        <v>76</v>
      </c>
      <c r="E8" s="60">
        <v>104</v>
      </c>
      <c r="F8" s="60">
        <v>134</v>
      </c>
      <c r="G8" s="60">
        <v>164</v>
      </c>
      <c r="H8" s="61">
        <v>194</v>
      </c>
    </row>
    <row r="9" spans="1:8" x14ac:dyDescent="0.25">
      <c r="A9" s="59" t="s">
        <v>125</v>
      </c>
      <c r="B9" s="60"/>
      <c r="C9" s="60">
        <f t="shared" ref="C9:H9" si="4">C8/360</f>
        <v>0.12222222222222222</v>
      </c>
      <c r="D9" s="60">
        <f t="shared" si="4"/>
        <v>0.21111111111111111</v>
      </c>
      <c r="E9" s="60">
        <f t="shared" si="4"/>
        <v>0.28888888888888886</v>
      </c>
      <c r="F9" s="60">
        <f t="shared" si="4"/>
        <v>0.37222222222222223</v>
      </c>
      <c r="G9" s="60">
        <f t="shared" si="4"/>
        <v>0.45555555555555555</v>
      </c>
      <c r="H9" s="61">
        <f t="shared" si="4"/>
        <v>0.53888888888888886</v>
      </c>
    </row>
    <row r="10" spans="1:8" x14ac:dyDescent="0.25">
      <c r="A10" s="62" t="s">
        <v>109</v>
      </c>
      <c r="B10" s="63"/>
      <c r="C10" s="63">
        <f t="shared" ref="C10:H10" si="5">C7/(1+0.016*C9)</f>
        <v>0.99804826117814061</v>
      </c>
      <c r="D10" s="63">
        <f t="shared" si="5"/>
        <v>0.99663359319631473</v>
      </c>
      <c r="E10" s="63">
        <f t="shared" si="5"/>
        <v>0.99539904441691729</v>
      </c>
      <c r="F10" s="63">
        <f t="shared" si="5"/>
        <v>0.99407970310152871</v>
      </c>
      <c r="G10" s="63">
        <f t="shared" si="5"/>
        <v>0.99276385457112604</v>
      </c>
      <c r="H10" s="64">
        <f t="shared" si="5"/>
        <v>0.99145148497400182</v>
      </c>
    </row>
    <row r="11" spans="1:8" x14ac:dyDescent="0.25">
      <c r="A11" s="59" t="s">
        <v>126</v>
      </c>
      <c r="B11" s="60"/>
      <c r="C11" s="86">
        <f>365/196*LN(1+1.6%*194/360)</f>
        <v>1.5987862514410742E-2</v>
      </c>
      <c r="D11" s="60"/>
      <c r="E11" s="60"/>
      <c r="F11" s="60"/>
      <c r="G11" s="60"/>
      <c r="H11" s="60"/>
    </row>
    <row r="12" spans="1:8" x14ac:dyDescent="0.25">
      <c r="A12" s="66"/>
      <c r="B12" s="67"/>
      <c r="C12" s="44"/>
      <c r="D12" s="44"/>
    </row>
    <row r="13" spans="1:8" x14ac:dyDescent="0.25">
      <c r="A13" s="68"/>
      <c r="B13" s="69"/>
    </row>
    <row r="14" spans="1:8" x14ac:dyDescent="0.25">
      <c r="A14" s="76"/>
      <c r="B14" s="12"/>
    </row>
    <row r="16" spans="1:8" x14ac:dyDescent="0.25">
      <c r="A16" s="87" t="s">
        <v>110</v>
      </c>
      <c r="B16" s="88" t="s">
        <v>111</v>
      </c>
    </row>
    <row r="17" spans="1:4" x14ac:dyDescent="0.25">
      <c r="A17" s="47">
        <v>0.9</v>
      </c>
      <c r="B17" s="48">
        <f>Contract_Value2(A17)</f>
        <v>0.94134918341012686</v>
      </c>
    </row>
    <row r="18" spans="1:4" x14ac:dyDescent="0.25">
      <c r="A18" s="47">
        <v>0.85</v>
      </c>
      <c r="B18" s="48">
        <f>Contract_Value2(A18)</f>
        <v>0.95963150824907728</v>
      </c>
    </row>
    <row r="19" spans="1:4" x14ac:dyDescent="0.25">
      <c r="A19" s="47">
        <v>0.8</v>
      </c>
      <c r="B19" s="48">
        <f t="shared" ref="B19:B28" si="6">Contract_Value2(A19)</f>
        <v>0.97731384085431472</v>
      </c>
    </row>
    <row r="20" spans="1:4" x14ac:dyDescent="0.25">
      <c r="A20" s="47">
        <v>0.75</v>
      </c>
      <c r="B20" s="48">
        <f t="shared" si="6"/>
        <v>0.99365992486300525</v>
      </c>
    </row>
    <row r="21" spans="1:4" x14ac:dyDescent="0.25">
      <c r="A21" s="47">
        <v>0.7</v>
      </c>
      <c r="B21" s="48">
        <f t="shared" si="6"/>
        <v>1.0079863497800066</v>
      </c>
    </row>
    <row r="22" spans="1:4" x14ac:dyDescent="0.25">
      <c r="A22" s="47">
        <v>0.65</v>
      </c>
      <c r="B22" s="48">
        <f t="shared" si="6"/>
        <v>1.019462997509059</v>
      </c>
    </row>
    <row r="23" spans="1:4" x14ac:dyDescent="0.25">
      <c r="A23" s="47"/>
      <c r="B23" s="48"/>
    </row>
    <row r="24" spans="1:4" x14ac:dyDescent="0.25">
      <c r="A24" s="47">
        <v>0.75</v>
      </c>
      <c r="B24" s="48">
        <f t="shared" si="6"/>
        <v>0.99365992486300525</v>
      </c>
    </row>
    <row r="25" spans="1:4" x14ac:dyDescent="0.25">
      <c r="A25" s="47">
        <f>A24-0.01</f>
        <v>0.74</v>
      </c>
      <c r="B25" s="48">
        <f t="shared" si="6"/>
        <v>0.99670704491448447</v>
      </c>
    </row>
    <row r="26" spans="1:4" x14ac:dyDescent="0.25">
      <c r="A26" s="47">
        <f t="shared" ref="A26:A28" si="7">A25-0.01</f>
        <v>0.73</v>
      </c>
      <c r="B26" s="48">
        <f t="shared" si="6"/>
        <v>0.99967688381681319</v>
      </c>
    </row>
    <row r="27" spans="1:4" x14ac:dyDescent="0.25">
      <c r="A27" s="47">
        <f t="shared" si="7"/>
        <v>0.72</v>
      </c>
      <c r="B27" s="48">
        <f t="shared" si="6"/>
        <v>1.0025597510582736</v>
      </c>
    </row>
    <row r="28" spans="1:4" x14ac:dyDescent="0.25">
      <c r="A28" s="49">
        <f t="shared" si="7"/>
        <v>0.71</v>
      </c>
      <c r="B28" s="50">
        <f t="shared" si="6"/>
        <v>1.0053263907203267</v>
      </c>
    </row>
    <row r="29" spans="1:4" x14ac:dyDescent="0.25">
      <c r="A29" s="23" t="s">
        <v>56</v>
      </c>
      <c r="B29" s="24"/>
      <c r="C29" s="24"/>
      <c r="D29" s="24"/>
    </row>
    <row r="30" spans="1:4" x14ac:dyDescent="0.25">
      <c r="A30" s="24" t="s">
        <v>65</v>
      </c>
      <c r="B30" s="24"/>
      <c r="C30" s="24"/>
      <c r="D30" s="24"/>
    </row>
    <row r="31" spans="1:4" x14ac:dyDescent="0.25">
      <c r="A31" s="24" t="s">
        <v>81</v>
      </c>
      <c r="B31" s="24"/>
      <c r="C31" s="24"/>
      <c r="D31" s="24"/>
    </row>
    <row r="32" spans="1:4" x14ac:dyDescent="0.25">
      <c r="A32" s="24" t="s">
        <v>87</v>
      </c>
      <c r="B32" s="24"/>
      <c r="C32" s="24"/>
      <c r="D32" s="24"/>
    </row>
    <row r="33" spans="1:7" x14ac:dyDescent="0.25">
      <c r="E33" s="92" t="s">
        <v>127</v>
      </c>
    </row>
    <row r="34" spans="1:7" x14ac:dyDescent="0.25">
      <c r="A34" s="72" t="s">
        <v>112</v>
      </c>
      <c r="B34" s="70" t="s">
        <v>128</v>
      </c>
      <c r="C34" s="71"/>
      <c r="E34" s="93">
        <v>0.72812499999999991</v>
      </c>
      <c r="G34" s="91"/>
    </row>
    <row r="35" spans="1:7" x14ac:dyDescent="0.25">
      <c r="A35" s="80" t="s">
        <v>113</v>
      </c>
      <c r="B35" s="75" t="s">
        <v>114</v>
      </c>
      <c r="C35" s="46"/>
    </row>
    <row r="36" spans="1:7" x14ac:dyDescent="0.25">
      <c r="A36" s="81"/>
      <c r="B36" s="73" t="s">
        <v>115</v>
      </c>
      <c r="C36" s="94">
        <v>1.2886886421970309E-3</v>
      </c>
    </row>
    <row r="37" spans="1:7" x14ac:dyDescent="0.25">
      <c r="A37" s="59"/>
      <c r="B37" s="74" t="s">
        <v>116</v>
      </c>
      <c r="C37" s="48"/>
    </row>
    <row r="38" spans="1:7" x14ac:dyDescent="0.25">
      <c r="A38" s="62"/>
      <c r="B38" s="95">
        <f>B17-1.96*C36</f>
        <v>0.93882335367142067</v>
      </c>
      <c r="C38" s="96">
        <f>B17+1.96*C36</f>
        <v>0.94387501314883304</v>
      </c>
    </row>
    <row r="40" spans="1:7" x14ac:dyDescent="0.25">
      <c r="A40" s="79" t="s">
        <v>119</v>
      </c>
    </row>
  </sheetData>
  <phoneticPr fontId="4" type="noConversion"/>
  <pageMargins left="0.7" right="0.7" top="0.75" bottom="0.75" header="0.3" footer="0.3"/>
  <ignoredErrors>
    <ignoredError sqref="C5:H5" 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isection">
                <anchor moveWithCells="1" sizeWithCells="1">
                  <from>
                    <xdr:col>4</xdr:col>
                    <xdr:colOff>289560</xdr:colOff>
                    <xdr:row>24</xdr:row>
                    <xdr:rowOff>167640</xdr:rowOff>
                  </from>
                  <to>
                    <xdr:col>6</xdr:col>
                    <xdr:colOff>7620</xdr:colOff>
                    <xdr:row>26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onfidence_Interval">
                <anchor moveWithCells="1" sizeWithCells="1">
                  <from>
                    <xdr:col>4</xdr:col>
                    <xdr:colOff>30480</xdr:colOff>
                    <xdr:row>34</xdr:row>
                    <xdr:rowOff>114300</xdr:rowOff>
                  </from>
                  <to>
                    <xdr:col>5</xdr:col>
                    <xdr:colOff>655320</xdr:colOff>
                    <xdr:row>36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9</vt:i4>
      </vt:variant>
    </vt:vector>
  </HeadingPairs>
  <TitlesOfParts>
    <vt:vector size="13" baseType="lpstr">
      <vt:lpstr>Equity Linked Note</vt:lpstr>
      <vt:lpstr>Equity Linked Note-solution</vt:lpstr>
      <vt:lpstr> Fixed Coupon Note</vt:lpstr>
      <vt:lpstr> Fixed Coupon Note-solution</vt:lpstr>
      <vt:lpstr>d_1</vt:lpstr>
      <vt:lpstr>d_2</vt:lpstr>
      <vt:lpstr>K</vt:lpstr>
      <vt:lpstr>margin</vt:lpstr>
      <vt:lpstr>q</vt:lpstr>
      <vt:lpstr>rate</vt:lpstr>
      <vt:lpstr>repo</vt:lpstr>
      <vt:lpstr>S_0</vt:lpstr>
      <vt:lpstr>sigma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Windows8</dc:creator>
  <cp:lastModifiedBy>Weijie.Liang</cp:lastModifiedBy>
  <dcterms:created xsi:type="dcterms:W3CDTF">2017-10-03T14:54:22Z</dcterms:created>
  <dcterms:modified xsi:type="dcterms:W3CDTF">2020-04-24T03:00:31Z</dcterms:modified>
</cp:coreProperties>
</file>